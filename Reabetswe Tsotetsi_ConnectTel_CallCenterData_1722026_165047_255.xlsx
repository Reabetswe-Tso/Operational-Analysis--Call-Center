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Reabetswe Tsotetsi\Desktop\DATA_ANALYTICS\"/>
    </mc:Choice>
  </mc:AlternateContent>
  <xr:revisionPtr revIDLastSave="0" documentId="13_ncr:1_{FB05C556-E735-4491-82F8-1C0D7D2FBF04}" xr6:coauthVersionLast="47" xr6:coauthVersionMax="47" xr10:uidLastSave="{00000000-0000-0000-0000-000000000000}"/>
  <bookViews>
    <workbookView xWindow="-110" yWindow="-110" windowWidth="19420" windowHeight="10300" activeTab="1" xr2:uid="{00000000-000D-0000-FFFF-FFFF00000000}"/>
  </bookViews>
  <sheets>
    <sheet name="Raw" sheetId="1" r:id="rId1"/>
    <sheet name="Analysis" sheetId="3" r:id="rId2"/>
  </sheets>
  <definedNames>
    <definedName name="_xlnm._FilterDatabase" localSheetId="0" hidden="1">Raw!$A$1:$L$451</definedName>
    <definedName name="Slicer_Team">#N/A</definedName>
  </definedNames>
  <calcPr calcId="191028" iterateDelta="1E-4"/>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0" i="3" l="1"/>
  <c r="K93" i="3"/>
  <c r="I93" i="3"/>
  <c r="G93" i="3"/>
  <c r="F93" i="3"/>
  <c r="E93" i="3"/>
  <c r="D93" i="3"/>
  <c r="K90" i="3"/>
  <c r="I90" i="3"/>
  <c r="G90" i="3"/>
  <c r="F90" i="3"/>
  <c r="E90" i="3"/>
  <c r="D90" i="3"/>
  <c r="K76" i="3"/>
  <c r="I76" i="3"/>
  <c r="J76" i="3" s="1"/>
  <c r="G76" i="3"/>
  <c r="H76" i="3" s="1"/>
  <c r="F76" i="3"/>
  <c r="E76" i="3"/>
  <c r="D76" i="3"/>
  <c r="K88" i="3"/>
  <c r="I88" i="3"/>
  <c r="G88" i="3"/>
  <c r="H88" i="3" s="1"/>
  <c r="F88" i="3"/>
  <c r="E88" i="3"/>
  <c r="D88" i="3"/>
  <c r="K77" i="3"/>
  <c r="I77" i="3"/>
  <c r="G77" i="3"/>
  <c r="F77" i="3"/>
  <c r="E77" i="3"/>
  <c r="D77" i="3"/>
  <c r="K87" i="3"/>
  <c r="I87" i="3"/>
  <c r="G87" i="3"/>
  <c r="F87" i="3"/>
  <c r="E87" i="3"/>
  <c r="D87" i="3"/>
  <c r="J87" i="3" s="1"/>
  <c r="K82" i="3"/>
  <c r="I82" i="3"/>
  <c r="G82" i="3"/>
  <c r="F82" i="3"/>
  <c r="E82" i="3"/>
  <c r="D82" i="3"/>
  <c r="K79" i="3"/>
  <c r="I79" i="3"/>
  <c r="G79" i="3"/>
  <c r="F79" i="3"/>
  <c r="E79" i="3"/>
  <c r="D79" i="3"/>
  <c r="K91" i="3"/>
  <c r="I91" i="3"/>
  <c r="G91" i="3"/>
  <c r="F91" i="3"/>
  <c r="E91" i="3"/>
  <c r="D91" i="3"/>
  <c r="K67" i="3"/>
  <c r="I67" i="3"/>
  <c r="G67" i="3"/>
  <c r="F67" i="3"/>
  <c r="E67" i="3"/>
  <c r="D67" i="3"/>
  <c r="H67" i="3" s="1"/>
  <c r="K84" i="3"/>
  <c r="I84" i="3"/>
  <c r="G84" i="3"/>
  <c r="F84" i="3"/>
  <c r="E84" i="3"/>
  <c r="D84" i="3"/>
  <c r="K69" i="3"/>
  <c r="I69" i="3"/>
  <c r="G69" i="3"/>
  <c r="H69" i="3" s="1"/>
  <c r="F69" i="3"/>
  <c r="E69" i="3"/>
  <c r="D69" i="3"/>
  <c r="K81" i="3"/>
  <c r="I81" i="3"/>
  <c r="G81" i="3"/>
  <c r="F81" i="3"/>
  <c r="E81" i="3"/>
  <c r="D81" i="3"/>
  <c r="K64" i="3"/>
  <c r="I64" i="3"/>
  <c r="G64" i="3"/>
  <c r="F64" i="3"/>
  <c r="E64" i="3"/>
  <c r="D64" i="3"/>
  <c r="K68" i="3"/>
  <c r="I68" i="3"/>
  <c r="G68" i="3"/>
  <c r="F68" i="3"/>
  <c r="E68" i="3"/>
  <c r="D68" i="3"/>
  <c r="K86" i="3"/>
  <c r="I86" i="3"/>
  <c r="J86" i="3" s="1"/>
  <c r="G86" i="3"/>
  <c r="H86" i="3" s="1"/>
  <c r="F86" i="3"/>
  <c r="E86" i="3"/>
  <c r="D86" i="3"/>
  <c r="K85" i="3"/>
  <c r="I85" i="3"/>
  <c r="G85" i="3"/>
  <c r="F85" i="3"/>
  <c r="E85" i="3"/>
  <c r="D85" i="3"/>
  <c r="K72" i="3"/>
  <c r="I72" i="3"/>
  <c r="G72" i="3"/>
  <c r="F72" i="3"/>
  <c r="E72" i="3"/>
  <c r="D72" i="3"/>
  <c r="K73" i="3"/>
  <c r="I73" i="3"/>
  <c r="G73" i="3"/>
  <c r="F73" i="3"/>
  <c r="E73" i="3"/>
  <c r="D73" i="3"/>
  <c r="K66" i="3"/>
  <c r="I66" i="3"/>
  <c r="J66" i="3" s="1"/>
  <c r="G66" i="3"/>
  <c r="H66" i="3" s="1"/>
  <c r="F66" i="3"/>
  <c r="E66" i="3"/>
  <c r="D66" i="3"/>
  <c r="K89" i="3"/>
  <c r="I89" i="3"/>
  <c r="G89" i="3"/>
  <c r="E89" i="3"/>
  <c r="D89" i="3"/>
  <c r="K70" i="3"/>
  <c r="I70" i="3"/>
  <c r="G70" i="3"/>
  <c r="F70" i="3"/>
  <c r="E70" i="3"/>
  <c r="D70" i="3"/>
  <c r="K78" i="3"/>
  <c r="I78" i="3"/>
  <c r="G78" i="3"/>
  <c r="F78" i="3"/>
  <c r="E78" i="3"/>
  <c r="D78" i="3"/>
  <c r="K92" i="3"/>
  <c r="I92" i="3"/>
  <c r="G92" i="3"/>
  <c r="F92" i="3"/>
  <c r="E92" i="3"/>
  <c r="D92" i="3"/>
  <c r="K75" i="3"/>
  <c r="I75" i="3"/>
  <c r="G75" i="3"/>
  <c r="F75" i="3"/>
  <c r="E75" i="3"/>
  <c r="D75" i="3"/>
  <c r="K80" i="3"/>
  <c r="I80" i="3"/>
  <c r="G80" i="3"/>
  <c r="E80" i="3"/>
  <c r="D80" i="3"/>
  <c r="K71" i="3"/>
  <c r="I71" i="3"/>
  <c r="G71" i="3"/>
  <c r="F71" i="3"/>
  <c r="E71" i="3"/>
  <c r="D71" i="3"/>
  <c r="K65" i="3"/>
  <c r="I65" i="3"/>
  <c r="G65" i="3"/>
  <c r="F65" i="3"/>
  <c r="E65" i="3"/>
  <c r="D65" i="3"/>
  <c r="K83" i="3"/>
  <c r="I83" i="3"/>
  <c r="G83" i="3"/>
  <c r="F83" i="3"/>
  <c r="E83" i="3"/>
  <c r="D83" i="3"/>
  <c r="K74" i="3"/>
  <c r="I74" i="3"/>
  <c r="G74" i="3"/>
  <c r="F74" i="3"/>
  <c r="E74" i="3"/>
  <c r="D74" i="3"/>
  <c r="H58" i="3"/>
  <c r="F58" i="3"/>
  <c r="E58" i="3"/>
  <c r="D58" i="3"/>
  <c r="C58" i="3"/>
  <c r="H57" i="3"/>
  <c r="I57" i="3" s="1"/>
  <c r="F57" i="3"/>
  <c r="G57" i="3" s="1"/>
  <c r="E57" i="3"/>
  <c r="D57" i="3"/>
  <c r="C57" i="3"/>
  <c r="H56" i="3"/>
  <c r="F56" i="3"/>
  <c r="E56" i="3"/>
  <c r="D56" i="3"/>
  <c r="C56" i="3"/>
  <c r="J69" i="3" l="1"/>
  <c r="J79" i="3"/>
  <c r="J88" i="3"/>
  <c r="H81" i="3"/>
  <c r="H77" i="3"/>
  <c r="J65" i="3"/>
  <c r="H75" i="3"/>
  <c r="J89" i="3"/>
  <c r="J81" i="3"/>
  <c r="J77" i="3"/>
  <c r="H83" i="3"/>
  <c r="J75" i="3"/>
  <c r="J92" i="3"/>
  <c r="H89" i="3"/>
  <c r="H85" i="3"/>
  <c r="J85" i="3"/>
  <c r="H84" i="3"/>
  <c r="J91" i="3"/>
  <c r="J83" i="3"/>
  <c r="H74" i="3"/>
  <c r="H64" i="3"/>
  <c r="J80" i="3"/>
  <c r="J70" i="3"/>
  <c r="F89" i="3"/>
  <c r="J64" i="3"/>
  <c r="J67" i="3"/>
  <c r="H79" i="3"/>
  <c r="H90" i="3"/>
  <c r="H80" i="3"/>
  <c r="H71" i="3"/>
  <c r="H78" i="3"/>
  <c r="H73" i="3"/>
  <c r="H68" i="3"/>
  <c r="H93" i="3"/>
  <c r="H70" i="3"/>
  <c r="H87" i="3"/>
  <c r="J71" i="3"/>
  <c r="J78" i="3"/>
  <c r="J73" i="3"/>
  <c r="J68" i="3"/>
  <c r="J84" i="3"/>
  <c r="H91" i="3"/>
  <c r="J93" i="3"/>
  <c r="H72" i="3"/>
  <c r="H65" i="3"/>
  <c r="H92" i="3"/>
  <c r="J90" i="3"/>
  <c r="J72" i="3"/>
  <c r="J82" i="3"/>
  <c r="J74" i="3"/>
  <c r="H82" i="3"/>
  <c r="G56" i="3"/>
  <c r="G58" i="3"/>
  <c r="I56" i="3"/>
  <c r="I58" i="3"/>
  <c r="N2" i="1" l="1"/>
  <c r="M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alcChain>
</file>

<file path=xl/sharedStrings.xml><?xml version="1.0" encoding="utf-8"?>
<sst xmlns="http://schemas.openxmlformats.org/spreadsheetml/2006/main" count="2381" uniqueCount="75">
  <si>
    <t>Team</t>
  </si>
  <si>
    <t>AgentID</t>
  </si>
  <si>
    <t>Day</t>
  </si>
  <si>
    <t>Shift</t>
  </si>
  <si>
    <t>Experience</t>
  </si>
  <si>
    <t>CallsHandled</t>
  </si>
  <si>
    <t>AvgCallDuration</t>
  </si>
  <si>
    <t>EscalationRate</t>
  </si>
  <si>
    <t>FCRRate</t>
  </si>
  <si>
    <t>CSATScore</t>
  </si>
  <si>
    <t>OvertimeHours</t>
  </si>
  <si>
    <t>CostPerCall</t>
  </si>
  <si>
    <t>Team A</t>
  </si>
  <si>
    <t>Agent_1</t>
  </si>
  <si>
    <t>Monday</t>
  </si>
  <si>
    <t>Morning</t>
  </si>
  <si>
    <t>3-6 months</t>
  </si>
  <si>
    <t>Afternoon</t>
  </si>
  <si>
    <t>Evening</t>
  </si>
  <si>
    <t>0-3 months</t>
  </si>
  <si>
    <t>Tuesday</t>
  </si>
  <si>
    <t>6+ months</t>
  </si>
  <si>
    <t>Wednesday</t>
  </si>
  <si>
    <t>Thursday</t>
  </si>
  <si>
    <t>Friday</t>
  </si>
  <si>
    <t>Agent_2</t>
  </si>
  <si>
    <t>Agent_3</t>
  </si>
  <si>
    <t>Agent_4</t>
  </si>
  <si>
    <t>Agent_5</t>
  </si>
  <si>
    <t>Agent_6</t>
  </si>
  <si>
    <t>Agent_7</t>
  </si>
  <si>
    <t>Agent_8</t>
  </si>
  <si>
    <t>Agent_9</t>
  </si>
  <si>
    <t>Agent_10</t>
  </si>
  <si>
    <t>Team B</t>
  </si>
  <si>
    <t>Team C</t>
  </si>
  <si>
    <t>Grand Total</t>
  </si>
  <si>
    <t>PIVOT TABLE 1</t>
  </si>
  <si>
    <t>PIVOT TABLE 2</t>
  </si>
  <si>
    <t>PIVOT TABLE 3</t>
  </si>
  <si>
    <t>GRAPH 1</t>
  </si>
  <si>
    <t>GRAPH 2</t>
  </si>
  <si>
    <t>Agent</t>
  </si>
  <si>
    <t>Number of CallsHandled</t>
  </si>
  <si>
    <t>Total FCRRate</t>
  </si>
  <si>
    <t>Total calls Handled</t>
  </si>
  <si>
    <t>Total OvertimeHours</t>
  </si>
  <si>
    <t>Average CSATScore</t>
  </si>
  <si>
    <t>Average Cost Per call</t>
  </si>
  <si>
    <t>Total Escalations</t>
  </si>
  <si>
    <t>Num Escalations</t>
  </si>
  <si>
    <t>Num FCR</t>
  </si>
  <si>
    <t>Overall EscalateRte</t>
  </si>
  <si>
    <t>Overall FCRRate</t>
  </si>
  <si>
    <t>Average Call duration</t>
  </si>
  <si>
    <t>Avgerage CallDuration</t>
  </si>
  <si>
    <t>Number of Calls Handled</t>
  </si>
  <si>
    <t>* Team B has the most overtime in the afternoon than in the morning</t>
  </si>
  <si>
    <t>* Team B has to add more hours for morning shift and less for afternoon</t>
  </si>
  <si>
    <t>Average Cost Per Call</t>
  </si>
  <si>
    <t>Total Calls Handled</t>
  </si>
  <si>
    <t>AverageCostPerCall</t>
  </si>
  <si>
    <t>* Mornings produce peak calls handled</t>
  </si>
  <si>
    <t>* Afternoons have less peak calls handled</t>
  </si>
  <si>
    <t>* However, there is less overtime shifts in the morning</t>
  </si>
  <si>
    <t>Overall Escalation Rate</t>
  </si>
  <si>
    <t>Overall FCR Rate</t>
  </si>
  <si>
    <t>Overall FCR Rate2</t>
  </si>
  <si>
    <t>Graph 3</t>
  </si>
  <si>
    <t>ConnectTel Call Centre Analysis</t>
  </si>
  <si>
    <t>Table 1</t>
  </si>
  <si>
    <t>Table 2</t>
  </si>
  <si>
    <t>* Interesting observation from the table was that the high escalation rate does not mean customer dissatisfaction.</t>
  </si>
  <si>
    <t>* It was also suprising to see that all agents in team B have a high average cost per call by virtue of high average call duration,</t>
  </si>
  <si>
    <t>my assumption was that they are less trained as a group, however, 6 of the agents in the same group rank in the top 10 for FCR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</si>
</sst>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sz val="8"/>
      <name val="Calibri"/>
      <family val="2"/>
      <scheme val="minor"/>
    </font>
    <font>
      <b/>
      <sz val="12"/>
      <color theme="4" tint="-0.249977111117893"/>
      <name val="Calibri"/>
      <family val="2"/>
      <scheme val="minor"/>
    </font>
    <font>
      <b/>
      <sz val="11"/>
      <color theme="6" tint="-0.499984740745262"/>
      <name val="Calibri"/>
      <family val="2"/>
      <scheme val="minor"/>
    </font>
    <font>
      <b/>
      <sz val="16"/>
      <color theme="1"/>
      <name val="Calibri"/>
      <family val="2"/>
      <scheme val="minor"/>
    </font>
    <font>
      <b/>
      <sz val="16"/>
      <color theme="6" tint="-0.249977111117893"/>
      <name val="Calibri"/>
      <family val="2"/>
      <scheme val="minor"/>
    </font>
    <font>
      <b/>
      <sz val="16"/>
      <color theme="6" tint="-0.249977111117893"/>
      <name val="Algerian"/>
      <family val="5"/>
    </font>
    <font>
      <sz val="11"/>
      <color theme="1"/>
      <name val="Algerian"/>
      <family val="5"/>
    </font>
  </fonts>
  <fills count="5">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xf numFmtId="2" fontId="0" fillId="0" borderId="0" xfId="0" applyNumberFormat="1"/>
    <xf numFmtId="0" fontId="1" fillId="0" borderId="2" xfId="0" applyFont="1" applyBorder="1" applyAlignment="1">
      <alignment horizontal="center" vertical="top"/>
    </xf>
    <xf numFmtId="164" fontId="0" fillId="0" borderId="0" xfId="0" applyNumberFormat="1"/>
    <xf numFmtId="0" fontId="3" fillId="0" borderId="0" xfId="0" applyFont="1"/>
    <xf numFmtId="0" fontId="4" fillId="0" borderId="0" xfId="0" applyFont="1"/>
    <xf numFmtId="0" fontId="0" fillId="2" borderId="0" xfId="0" applyFill="1"/>
    <xf numFmtId="0" fontId="0" fillId="3" borderId="0" xfId="0" applyFill="1"/>
    <xf numFmtId="0" fontId="0" fillId="4" borderId="0" xfId="0" applyFill="1"/>
    <xf numFmtId="0" fontId="6" fillId="4" borderId="0" xfId="0" applyFont="1" applyFill="1"/>
    <xf numFmtId="0" fontId="5" fillId="4" borderId="0" xfId="0" applyFont="1" applyFill="1"/>
    <xf numFmtId="0" fontId="7" fillId="4" borderId="0" xfId="0" applyFont="1" applyFill="1"/>
    <xf numFmtId="0" fontId="8" fillId="4" borderId="0" xfId="0" applyFont="1" applyFill="1"/>
    <xf numFmtId="0" fontId="3" fillId="4" borderId="0" xfId="0" applyFont="1" applyFill="1"/>
    <xf numFmtId="0" fontId="1" fillId="4" borderId="0" xfId="0" applyFont="1" applyFill="1"/>
    <xf numFmtId="0" fontId="0" fillId="0" borderId="0" xfId="0" applyNumberFormat="1"/>
  </cellXfs>
  <cellStyles count="1">
    <cellStyle name="Normal" xfId="0" builtinId="0"/>
  </cellStyles>
  <dxfs count="16">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0" formatCode="General"/>
    </dxf>
    <dxf>
      <numFmt numFmtId="2" formatCode="0.00"/>
    </dxf>
    <dxf>
      <numFmt numFmtId="0" formatCode="General"/>
    </dxf>
    <dxf>
      <numFmt numFmtId="2" formatCode="0.00"/>
    </dxf>
    <dxf>
      <numFmt numFmtId="2" formatCode="0.00"/>
    </dxf>
    <dxf>
      <numFmt numFmtId="2" formatCode="0.00"/>
    </dxf>
    <dxf>
      <numFmt numFmtId="2" formatCode="0.00"/>
    </dxf>
    <dxf>
      <numFmt numFmtId="0" formatCode="General"/>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[ConnectTel_CallCenterData_1722026_165047_255.xlsx]Analysis!PivotTable4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Calls handled by Shift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Analysis!$A$8:$A$11</c:f>
              <c:strCache>
                <c:ptCount val="3"/>
                <c:pt idx="0">
                  <c:v>Evening</c:v>
                </c:pt>
                <c:pt idx="1">
                  <c:v>Afternoon</c:v>
                </c:pt>
                <c:pt idx="2">
                  <c:v>Morning</c:v>
                </c:pt>
              </c:strCache>
            </c:strRef>
          </c:cat>
          <c:val>
            <c:numRef>
              <c:f>Analysis!$B$8:$B$11</c:f>
              <c:numCache>
                <c:formatCode>General</c:formatCode>
                <c:ptCount val="3"/>
                <c:pt idx="0">
                  <c:v>7918</c:v>
                </c:pt>
                <c:pt idx="1">
                  <c:v>7989</c:v>
                </c:pt>
                <c:pt idx="2">
                  <c:v>8431</c:v>
                </c:pt>
              </c:numCache>
            </c:numRef>
          </c:val>
          <c:extLst>
            <c:ext xmlns:c16="http://schemas.microsoft.com/office/drawing/2014/chart" uri="{C3380CC4-5D6E-409C-BE32-E72D297353CC}">
              <c16:uniqueId val="{00000000-1F7B-4809-A275-5D5876DA97F4}"/>
            </c:ext>
          </c:extLst>
        </c:ser>
        <c:dLbls>
          <c:showLegendKey val="0"/>
          <c:showVal val="0"/>
          <c:showCatName val="0"/>
          <c:showSerName val="0"/>
          <c:showPercent val="0"/>
          <c:showBubbleSize val="0"/>
        </c:dLbls>
        <c:gapWidth val="115"/>
        <c:overlap val="-20"/>
        <c:axId val="1811536239"/>
        <c:axId val="1811537199"/>
      </c:barChart>
      <c:catAx>
        <c:axId val="1811536239"/>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Shift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537199"/>
        <c:crosses val="autoZero"/>
        <c:auto val="1"/>
        <c:lblAlgn val="ctr"/>
        <c:lblOffset val="100"/>
        <c:noMultiLvlLbl val="0"/>
      </c:catAx>
      <c:valAx>
        <c:axId val="18115371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Total Calls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53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[ConnectTel_CallCenterData_1722026_165047_255.xlsx]Analysis!PivotTable5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Overtime Hours vs Shift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Analysis!$B$21</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Analysis!$A$22:$A$25</c:f>
              <c:strCache>
                <c:ptCount val="3"/>
                <c:pt idx="0">
                  <c:v>Morning</c:v>
                </c:pt>
                <c:pt idx="1">
                  <c:v>Evening</c:v>
                </c:pt>
                <c:pt idx="2">
                  <c:v>Afternoon</c:v>
                </c:pt>
              </c:strCache>
            </c:strRef>
          </c:cat>
          <c:val>
            <c:numRef>
              <c:f>Analysis!$B$22:$B$25</c:f>
              <c:numCache>
                <c:formatCode>General</c:formatCode>
                <c:ptCount val="3"/>
                <c:pt idx="0">
                  <c:v>94</c:v>
                </c:pt>
                <c:pt idx="1">
                  <c:v>95</c:v>
                </c:pt>
                <c:pt idx="2">
                  <c:v>101</c:v>
                </c:pt>
              </c:numCache>
            </c:numRef>
          </c:val>
          <c:extLst>
            <c:ext xmlns:c16="http://schemas.microsoft.com/office/drawing/2014/chart" uri="{C3380CC4-5D6E-409C-BE32-E72D297353CC}">
              <c16:uniqueId val="{00000000-46F7-44F5-90C6-3FACFB578F07}"/>
            </c:ext>
          </c:extLst>
        </c:ser>
        <c:dLbls>
          <c:showLegendKey val="0"/>
          <c:showVal val="0"/>
          <c:showCatName val="0"/>
          <c:showSerName val="0"/>
          <c:showPercent val="0"/>
          <c:showBubbleSize val="0"/>
        </c:dLbls>
        <c:gapWidth val="115"/>
        <c:overlap val="-20"/>
        <c:axId val="199131711"/>
        <c:axId val="209654575"/>
      </c:barChart>
      <c:catAx>
        <c:axId val="1991317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Shift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54575"/>
        <c:crosses val="autoZero"/>
        <c:auto val="1"/>
        <c:lblAlgn val="ctr"/>
        <c:lblOffset val="100"/>
        <c:noMultiLvlLbl val="0"/>
      </c:catAx>
      <c:valAx>
        <c:axId val="209654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ZA"/>
                  <a:t>Overtime hours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[ConnectTel_CallCenterData_1722026_165047_255.xlsx]Analysis!PivotTable10</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Analysis!$B$37</c:f>
              <c:strCache>
                <c:ptCount val="1"/>
                <c:pt idx="0">
                  <c:v>Avgerage CallDuration</c:v>
                </c:pt>
              </c:strCache>
            </c:strRef>
          </c:tx>
          <c:spPr>
            <a:solidFill>
              <a:schemeClr val="accent1"/>
            </a:solidFill>
            <a:ln>
              <a:noFill/>
            </a:ln>
            <a:effectLst/>
          </c:spPr>
          <c:invertIfNegative val="0"/>
          <c:cat>
            <c:strRef>
              <c:f>Analysis!$A$38:$A$40</c:f>
              <c:strCache>
                <c:ptCount val="3"/>
                <c:pt idx="0">
                  <c:v>Team C</c:v>
                </c:pt>
                <c:pt idx="1">
                  <c:v>Team B</c:v>
                </c:pt>
                <c:pt idx="2">
                  <c:v>Team A</c:v>
                </c:pt>
              </c:strCache>
            </c:strRef>
          </c:cat>
          <c:val>
            <c:numRef>
              <c:f>Analysis!$B$38:$B$40</c:f>
              <c:numCache>
                <c:formatCode>General</c:formatCode>
                <c:ptCount val="3"/>
                <c:pt idx="0">
                  <c:v>897.36999999999966</c:v>
                </c:pt>
                <c:pt idx="1">
                  <c:v>1128.5600000000002</c:v>
                </c:pt>
                <c:pt idx="2">
                  <c:v>909.37999999999988</c:v>
                </c:pt>
              </c:numCache>
            </c:numRef>
          </c:val>
          <c:extLst>
            <c:ext xmlns:c16="http://schemas.microsoft.com/office/drawing/2014/chart" uri="{C3380CC4-5D6E-409C-BE32-E72D297353CC}">
              <c16:uniqueId val="{00000000-D23D-4D86-88BA-F55E6041F977}"/>
            </c:ext>
          </c:extLst>
        </c:ser>
        <c:ser>
          <c:idx val="1"/>
          <c:order val="1"/>
          <c:tx>
            <c:strRef>
              <c:f>Analysis!$C$37</c:f>
              <c:strCache>
                <c:ptCount val="1"/>
                <c:pt idx="0">
                  <c:v>Number of Calls Handled</c:v>
                </c:pt>
              </c:strCache>
            </c:strRef>
          </c:tx>
          <c:spPr>
            <a:solidFill>
              <a:schemeClr val="accent4">
                <a:lumMod val="60000"/>
                <a:lumOff val="40000"/>
              </a:schemeClr>
            </a:solidFill>
            <a:ln>
              <a:noFill/>
            </a:ln>
            <a:effectLst/>
          </c:spPr>
          <c:invertIfNegative val="0"/>
          <c:cat>
            <c:strRef>
              <c:f>Analysis!$A$38:$A$40</c:f>
              <c:strCache>
                <c:ptCount val="3"/>
                <c:pt idx="0">
                  <c:v>Team C</c:v>
                </c:pt>
                <c:pt idx="1">
                  <c:v>Team B</c:v>
                </c:pt>
                <c:pt idx="2">
                  <c:v>Team A</c:v>
                </c:pt>
              </c:strCache>
            </c:strRef>
          </c:cat>
          <c:val>
            <c:numRef>
              <c:f>Analysis!$C$38:$C$40</c:f>
              <c:numCache>
                <c:formatCode>General</c:formatCode>
                <c:ptCount val="3"/>
                <c:pt idx="0">
                  <c:v>8229</c:v>
                </c:pt>
                <c:pt idx="1">
                  <c:v>8082</c:v>
                </c:pt>
                <c:pt idx="2">
                  <c:v>8027</c:v>
                </c:pt>
              </c:numCache>
            </c:numRef>
          </c:val>
          <c:extLst>
            <c:ext xmlns:c16="http://schemas.microsoft.com/office/drawing/2014/chart" uri="{C3380CC4-5D6E-409C-BE32-E72D297353CC}">
              <c16:uniqueId val="{00000001-D23D-4D86-88BA-F55E6041F977}"/>
            </c:ext>
          </c:extLst>
        </c:ser>
        <c:dLbls>
          <c:showLegendKey val="0"/>
          <c:showVal val="0"/>
          <c:showCatName val="0"/>
          <c:showSerName val="0"/>
          <c:showPercent val="0"/>
          <c:showBubbleSize val="0"/>
        </c:dLbls>
        <c:gapWidth val="219"/>
        <c:overlap val="-27"/>
        <c:axId val="230713807"/>
        <c:axId val="230708527"/>
      </c:barChart>
      <c:barChart>
        <c:barDir val="col"/>
        <c:grouping val="clustered"/>
        <c:varyColors val="0"/>
        <c:ser>
          <c:idx val="2"/>
          <c:order val="2"/>
          <c:tx>
            <c:strRef>
              <c:f>Analysis!$D$37</c:f>
              <c:strCache>
                <c:ptCount val="1"/>
                <c:pt idx="0">
                  <c:v>Average Cost Per Call</c:v>
                </c:pt>
              </c:strCache>
            </c:strRef>
          </c:tx>
          <c:spPr>
            <a:solidFill>
              <a:schemeClr val="accent3"/>
            </a:solidFill>
            <a:ln>
              <a:noFill/>
            </a:ln>
            <a:effectLst/>
          </c:spPr>
          <c:invertIfNegative val="0"/>
          <c:cat>
            <c:strRef>
              <c:f>Analysis!$A$38:$A$40</c:f>
              <c:strCache>
                <c:ptCount val="3"/>
                <c:pt idx="0">
                  <c:v>Team C</c:v>
                </c:pt>
                <c:pt idx="1">
                  <c:v>Team B</c:v>
                </c:pt>
                <c:pt idx="2">
                  <c:v>Team A</c:v>
                </c:pt>
              </c:strCache>
            </c:strRef>
          </c:cat>
          <c:val>
            <c:numRef>
              <c:f>Analysis!$D$38:$D$40</c:f>
              <c:numCache>
                <c:formatCode>0.00</c:formatCode>
                <c:ptCount val="3"/>
                <c:pt idx="0">
                  <c:v>25.240333333333336</c:v>
                </c:pt>
                <c:pt idx="1">
                  <c:v>27.565799999999999</c:v>
                </c:pt>
                <c:pt idx="2">
                  <c:v>25.413866666666671</c:v>
                </c:pt>
              </c:numCache>
            </c:numRef>
          </c:val>
          <c:extLst>
            <c:ext xmlns:c16="http://schemas.microsoft.com/office/drawing/2014/chart" uri="{C3380CC4-5D6E-409C-BE32-E72D297353CC}">
              <c16:uniqueId val="{00000002-D23D-4D86-88BA-F55E6041F977}"/>
            </c:ext>
          </c:extLst>
        </c:ser>
        <c:dLbls>
          <c:showLegendKey val="0"/>
          <c:showVal val="0"/>
          <c:showCatName val="0"/>
          <c:showSerName val="0"/>
          <c:showPercent val="0"/>
          <c:showBubbleSize val="0"/>
        </c:dLbls>
        <c:gapWidth val="219"/>
        <c:overlap val="-27"/>
        <c:axId val="389837583"/>
        <c:axId val="389843343"/>
      </c:barChart>
      <c:catAx>
        <c:axId val="23071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Team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08527"/>
        <c:crosses val="autoZero"/>
        <c:auto val="1"/>
        <c:lblAlgn val="ctr"/>
        <c:lblOffset val="100"/>
        <c:noMultiLvlLbl val="0"/>
      </c:catAx>
      <c:valAx>
        <c:axId val="2307085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13807"/>
        <c:crosses val="autoZero"/>
        <c:crossBetween val="between"/>
      </c:valAx>
      <c:valAx>
        <c:axId val="3898433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837583"/>
        <c:crosses val="max"/>
        <c:crossBetween val="between"/>
      </c:valAx>
      <c:catAx>
        <c:axId val="389837583"/>
        <c:scaling>
          <c:orientation val="minMax"/>
        </c:scaling>
        <c:delete val="1"/>
        <c:axPos val="b"/>
        <c:numFmt formatCode="General" sourceLinked="1"/>
        <c:majorTickMark val="out"/>
        <c:minorTickMark val="none"/>
        <c:tickLblPos val="nextTo"/>
        <c:crossAx val="3898433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180975</xdr:colOff>
      <xdr:row>6</xdr:row>
      <xdr:rowOff>19050</xdr:rowOff>
    </xdr:from>
    <xdr:to>
      <xdr:col>6</xdr:col>
      <xdr:colOff>501650</xdr:colOff>
      <xdr:row>17</xdr:row>
      <xdr:rowOff>38100</xdr:rowOff>
    </xdr:to>
    <xdr:graphicFrame macro="">
      <xdr:nvGraphicFramePr>
        <xdr:cNvPr id="3" name="Chart 2">
          <a:extLst>
            <a:ext uri="{FF2B5EF4-FFF2-40B4-BE49-F238E27FC236}">
              <a16:creationId xmlns:a16="http://schemas.microsoft.com/office/drawing/2014/main" id="{ADA8E9AF-8636-8D8D-38E3-45EE3C6B9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120650</xdr:colOff>
      <xdr:row>16</xdr:row>
      <xdr:rowOff>44451</xdr:rowOff>
    </xdr:from>
    <xdr:to>
      <xdr:col>8</xdr:col>
      <xdr:colOff>957709</xdr:colOff>
      <xdr:row>22</xdr:row>
      <xdr:rowOff>177800</xdr:rowOff>
    </xdr:to>
    <mc:AlternateContent xmlns:mc="http://schemas.openxmlformats.org/markup-compatibility/2006" xmlns:a14="http://schemas.microsoft.com/office/drawing/2010/main">
      <mc:Choice Requires="a14">
        <xdr:graphicFrame macro="">
          <xdr:nvGraphicFramePr>
            <xdr:cNvPr id="4" name="Team">
              <a:extLst>
                <a:ext uri="{FF2B5EF4-FFF2-40B4-BE49-F238E27FC236}">
                  <a16:creationId xmlns:a16="http://schemas.microsoft.com/office/drawing/2014/main" id="{6A6F8BC8-2165-FF9D-41A9-B9201CE6CD08}"/>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7734300" y="3098801"/>
              <a:ext cx="1828800" cy="123824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238125</xdr:colOff>
      <xdr:row>19</xdr:row>
      <xdr:rowOff>171450</xdr:rowOff>
    </xdr:from>
    <xdr:to>
      <xdr:col>6</xdr:col>
      <xdr:colOff>463764</xdr:colOff>
      <xdr:row>30</xdr:row>
      <xdr:rowOff>171236</xdr:rowOff>
    </xdr:to>
    <xdr:graphicFrame macro="">
      <xdr:nvGraphicFramePr>
        <xdr:cNvPr id="5" name="Chart 4">
          <a:extLst>
            <a:ext uri="{FF2B5EF4-FFF2-40B4-BE49-F238E27FC236}">
              <a16:creationId xmlns:a16="http://schemas.microsoft.com/office/drawing/2014/main" id="{64269830-B62F-DD27-0129-DA5711941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515814</xdr:colOff>
      <xdr:row>36</xdr:row>
      <xdr:rowOff>8776</xdr:rowOff>
    </xdr:from>
    <xdr:to>
      <xdr:col>8</xdr:col>
      <xdr:colOff>537646</xdr:colOff>
      <xdr:row>49</xdr:row>
      <xdr:rowOff>164101</xdr:rowOff>
    </xdr:to>
    <xdr:graphicFrame macro="">
      <xdr:nvGraphicFramePr>
        <xdr:cNvPr id="10" name="Chart 9">
          <a:extLst>
            <a:ext uri="{FF2B5EF4-FFF2-40B4-BE49-F238E27FC236}">
              <a16:creationId xmlns:a16="http://schemas.microsoft.com/office/drawing/2014/main" id="{5F636E56-D711-30D6-97CF-4F9EE02CF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betswe Tsotetsi" refreshedDate="46072.109588310188" createdVersion="8" refreshedVersion="8" minRefreshableVersion="3" recordCount="451" xr:uid="{68FD645A-559F-47DA-A477-BD43CD077899}">
  <cacheSource type="worksheet">
    <worksheetSource ref="A1:L1048576" sheet="Cleaned"/>
  </cacheSource>
  <cacheFields count="12">
    <cacheField name="Team" numFmtId="0">
      <sharedItems containsBlank="1" count="4">
        <s v="Team A"/>
        <s v="Team B"/>
        <s v="Team C"/>
        <m/>
      </sharedItems>
    </cacheField>
    <cacheField name="AgentID" numFmtId="0">
      <sharedItems containsBlank="1" count="11">
        <s v="Agent_1"/>
        <s v="Agent_2"/>
        <s v="Agent_3"/>
        <s v="Agent_4"/>
        <s v="Agent_5"/>
        <s v="Agent_6"/>
        <s v="Agent_7"/>
        <s v="Agent_8"/>
        <s v="Agent_9"/>
        <s v="Agent_10"/>
        <m/>
      </sharedItems>
    </cacheField>
    <cacheField name="Day" numFmtId="0">
      <sharedItems containsBlank="1" count="6">
        <s v="Monday"/>
        <s v="Tuesday"/>
        <s v="Wednesday"/>
        <s v="Thursday"/>
        <s v="Friday"/>
        <m/>
      </sharedItems>
    </cacheField>
    <cacheField name="Shift" numFmtId="0">
      <sharedItems containsBlank="1" count="4">
        <s v="Morning"/>
        <s v="Afternoon"/>
        <s v="Evening"/>
        <m/>
      </sharedItems>
    </cacheField>
    <cacheField name="Experience" numFmtId="0">
      <sharedItems containsBlank="1" count="4">
        <s v="3-6 months"/>
        <s v="0-3 months"/>
        <s v="6+ months"/>
        <m/>
      </sharedItems>
    </cacheField>
    <cacheField name="CallsHandled" numFmtId="0">
      <sharedItems containsString="0" containsBlank="1" containsNumber="1" containsInteger="1" minValue="30" maxValue="79"/>
    </cacheField>
    <cacheField name="AvgCallDuration" numFmtId="0">
      <sharedItems containsString="0" containsBlank="1" containsNumber="1" minValue="2.4300000000000002" maxValue="10.130000000000001"/>
    </cacheField>
    <cacheField name="EscalationRate" numFmtId="0">
      <sharedItems containsString="0" containsBlank="1" containsNumber="1" minValue="0.02" maxValue="0.3"/>
    </cacheField>
    <cacheField name="FCRRate" numFmtId="0">
      <sharedItems containsString="0" containsBlank="1" containsNumber="1" minValue="0.6" maxValue="0.9"/>
    </cacheField>
    <cacheField name="CSATScore" numFmtId="0">
      <sharedItems containsString="0" containsBlank="1" containsNumber="1" minValue="3.5" maxValue="4.8"/>
    </cacheField>
    <cacheField name="OvertimeHours" numFmtId="0">
      <sharedItems containsString="0" containsBlank="1" containsNumber="1" containsInteger="1" minValue="0" maxValue="3"/>
    </cacheField>
    <cacheField name="CostPerCall" numFmtId="0">
      <sharedItems containsString="0" containsBlank="1" containsNumber="1" minValue="18.64" maxValue="35.75"/>
    </cacheField>
  </cacheFields>
  <extLst>
    <ext xmlns:x14="http://schemas.microsoft.com/office/spreadsheetml/2009/9/main" uri="{725AE2AE-9491-48be-B2B4-4EB974FC3084}">
      <x14:pivotCacheDefinition pivotCacheId="18073334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1">
  <r>
    <x v="0"/>
    <x v="0"/>
    <x v="0"/>
    <x v="0"/>
    <x v="0"/>
    <n v="58"/>
    <n v="6.54"/>
    <n v="0.1"/>
    <n v="0.82"/>
    <n v="3.63"/>
    <n v="0"/>
    <n v="24.81"/>
  </r>
  <r>
    <x v="0"/>
    <x v="0"/>
    <x v="0"/>
    <x v="1"/>
    <x v="0"/>
    <n v="69"/>
    <n v="5.38"/>
    <n v="0.11"/>
    <n v="0.75"/>
    <n v="4.76"/>
    <n v="2"/>
    <n v="27.07"/>
  </r>
  <r>
    <x v="0"/>
    <x v="0"/>
    <x v="0"/>
    <x v="2"/>
    <x v="1"/>
    <n v="50"/>
    <n v="7.46"/>
    <n v="0.05"/>
    <n v="0.61"/>
    <n v="4.18"/>
    <n v="0"/>
    <n v="26.19"/>
  </r>
  <r>
    <x v="0"/>
    <x v="0"/>
    <x v="1"/>
    <x v="0"/>
    <x v="1"/>
    <n v="45"/>
    <n v="7.54"/>
    <n v="0.11"/>
    <n v="0.76"/>
    <n v="4.3"/>
    <n v="0"/>
    <n v="26.31"/>
  </r>
  <r>
    <x v="0"/>
    <x v="0"/>
    <x v="1"/>
    <x v="1"/>
    <x v="2"/>
    <n v="32"/>
    <n v="6.42"/>
    <n v="0.08"/>
    <n v="0.75"/>
    <n v="4.72"/>
    <n v="0"/>
    <n v="24.63"/>
  </r>
  <r>
    <x v="0"/>
    <x v="0"/>
    <x v="1"/>
    <x v="2"/>
    <x v="0"/>
    <n v="55"/>
    <n v="6.83"/>
    <n v="0.03"/>
    <n v="0.77"/>
    <n v="4.07"/>
    <n v="0"/>
    <n v="25.24"/>
  </r>
  <r>
    <x v="0"/>
    <x v="0"/>
    <x v="2"/>
    <x v="0"/>
    <x v="0"/>
    <n v="76"/>
    <n v="5.61"/>
    <n v="0.04"/>
    <n v="0.86"/>
    <n v="4.05"/>
    <n v="0"/>
    <n v="23.42"/>
  </r>
  <r>
    <x v="0"/>
    <x v="0"/>
    <x v="2"/>
    <x v="1"/>
    <x v="0"/>
    <n v="58"/>
    <n v="4.84"/>
    <n v="0.15"/>
    <n v="0.87"/>
    <n v="4.72"/>
    <n v="2"/>
    <n v="26.26"/>
  </r>
  <r>
    <x v="0"/>
    <x v="0"/>
    <x v="2"/>
    <x v="2"/>
    <x v="0"/>
    <n v="77"/>
    <n v="6.75"/>
    <n v="0.09"/>
    <n v="0.84"/>
    <n v="4.5999999999999996"/>
    <n v="1"/>
    <n v="27.12"/>
  </r>
  <r>
    <x v="0"/>
    <x v="0"/>
    <x v="3"/>
    <x v="0"/>
    <x v="0"/>
    <n v="53"/>
    <n v="4.16"/>
    <n v="7.0000000000000007E-2"/>
    <n v="0.79"/>
    <n v="4.21"/>
    <n v="0"/>
    <n v="21.24"/>
  </r>
  <r>
    <x v="0"/>
    <x v="0"/>
    <x v="3"/>
    <x v="1"/>
    <x v="2"/>
    <n v="30"/>
    <n v="5.96"/>
    <n v="7.0000000000000007E-2"/>
    <n v="0.79"/>
    <n v="3.52"/>
    <n v="0"/>
    <n v="23.94"/>
  </r>
  <r>
    <x v="0"/>
    <x v="0"/>
    <x v="3"/>
    <x v="2"/>
    <x v="2"/>
    <n v="64"/>
    <n v="5.72"/>
    <n v="0.12"/>
    <n v="0.62"/>
    <n v="3.97"/>
    <n v="0"/>
    <n v="23.58"/>
  </r>
  <r>
    <x v="0"/>
    <x v="0"/>
    <x v="4"/>
    <x v="0"/>
    <x v="2"/>
    <n v="37"/>
    <n v="5.0999999999999996"/>
    <n v="7.0000000000000007E-2"/>
    <n v="0.85"/>
    <n v="4.37"/>
    <n v="0"/>
    <n v="22.65"/>
  </r>
  <r>
    <x v="0"/>
    <x v="0"/>
    <x v="4"/>
    <x v="1"/>
    <x v="1"/>
    <n v="64"/>
    <n v="5.89"/>
    <n v="0.17"/>
    <n v="0.77"/>
    <n v="4.43"/>
    <n v="1"/>
    <n v="25.84"/>
  </r>
  <r>
    <x v="0"/>
    <x v="0"/>
    <x v="4"/>
    <x v="2"/>
    <x v="0"/>
    <n v="43"/>
    <n v="9.3699999999999992"/>
    <n v="0.08"/>
    <n v="0.61"/>
    <n v="3.64"/>
    <n v="0"/>
    <n v="29.06"/>
  </r>
  <r>
    <x v="0"/>
    <x v="1"/>
    <x v="0"/>
    <x v="0"/>
    <x v="0"/>
    <n v="61"/>
    <n v="5.08"/>
    <n v="0.11"/>
    <n v="0.77"/>
    <n v="4.29"/>
    <n v="0"/>
    <n v="22.62"/>
  </r>
  <r>
    <x v="0"/>
    <x v="1"/>
    <x v="0"/>
    <x v="1"/>
    <x v="1"/>
    <n v="42"/>
    <n v="5.79"/>
    <n v="0.09"/>
    <n v="0.89"/>
    <n v="4.55"/>
    <n v="1"/>
    <n v="25.68"/>
  </r>
  <r>
    <x v="0"/>
    <x v="1"/>
    <x v="0"/>
    <x v="2"/>
    <x v="2"/>
    <n v="57"/>
    <n v="5.57"/>
    <n v="0.05"/>
    <n v="0.7"/>
    <n v="4.6500000000000004"/>
    <n v="0"/>
    <n v="23.36"/>
  </r>
  <r>
    <x v="0"/>
    <x v="1"/>
    <x v="1"/>
    <x v="0"/>
    <x v="1"/>
    <n v="54"/>
    <n v="5.3"/>
    <n v="0.11"/>
    <n v="0.81"/>
    <n v="4.5599999999999996"/>
    <n v="2"/>
    <n v="26.95"/>
  </r>
  <r>
    <x v="0"/>
    <x v="1"/>
    <x v="1"/>
    <x v="1"/>
    <x v="1"/>
    <n v="37"/>
    <n v="5.67"/>
    <n v="0.18"/>
    <n v="0.82"/>
    <n v="4.4000000000000004"/>
    <n v="0"/>
    <n v="23.5"/>
  </r>
  <r>
    <x v="0"/>
    <x v="1"/>
    <x v="1"/>
    <x v="2"/>
    <x v="1"/>
    <n v="61"/>
    <n v="7.89"/>
    <n v="0.14000000000000001"/>
    <n v="0.84"/>
    <n v="4.75"/>
    <n v="0"/>
    <n v="26.84"/>
  </r>
  <r>
    <x v="0"/>
    <x v="1"/>
    <x v="2"/>
    <x v="0"/>
    <x v="0"/>
    <n v="78"/>
    <n v="6.17"/>
    <n v="0.04"/>
    <n v="0.9"/>
    <n v="3.85"/>
    <n v="3"/>
    <n v="30.26"/>
  </r>
  <r>
    <x v="0"/>
    <x v="1"/>
    <x v="2"/>
    <x v="1"/>
    <x v="0"/>
    <n v="52"/>
    <n v="6.48"/>
    <n v="0.05"/>
    <n v="0.77"/>
    <n v="4.1399999999999997"/>
    <n v="3"/>
    <n v="30.72"/>
  </r>
  <r>
    <x v="0"/>
    <x v="1"/>
    <x v="2"/>
    <x v="2"/>
    <x v="1"/>
    <n v="33"/>
    <n v="5.74"/>
    <n v="7.0000000000000007E-2"/>
    <n v="0.69"/>
    <n v="3.81"/>
    <n v="2"/>
    <n v="27.61"/>
  </r>
  <r>
    <x v="0"/>
    <x v="1"/>
    <x v="3"/>
    <x v="0"/>
    <x v="0"/>
    <n v="63"/>
    <n v="6.59"/>
    <n v="0.03"/>
    <n v="0.88"/>
    <n v="3.92"/>
    <n v="0"/>
    <n v="24.88"/>
  </r>
  <r>
    <x v="0"/>
    <x v="1"/>
    <x v="3"/>
    <x v="1"/>
    <x v="1"/>
    <n v="49"/>
    <n v="8.19"/>
    <n v="0.13"/>
    <n v="0.78"/>
    <n v="4.42"/>
    <n v="2"/>
    <n v="31.28"/>
  </r>
  <r>
    <x v="0"/>
    <x v="1"/>
    <x v="3"/>
    <x v="2"/>
    <x v="0"/>
    <n v="36"/>
    <n v="6.54"/>
    <n v="7.0000000000000007E-2"/>
    <n v="0.83"/>
    <n v="3.68"/>
    <n v="0"/>
    <n v="24.81"/>
  </r>
  <r>
    <x v="0"/>
    <x v="1"/>
    <x v="4"/>
    <x v="0"/>
    <x v="1"/>
    <n v="52"/>
    <n v="5.09"/>
    <n v="0.19"/>
    <n v="0.85"/>
    <n v="3.8"/>
    <n v="0"/>
    <n v="22.64"/>
  </r>
  <r>
    <x v="0"/>
    <x v="1"/>
    <x v="4"/>
    <x v="1"/>
    <x v="2"/>
    <n v="78"/>
    <n v="5.68"/>
    <n v="0.14000000000000001"/>
    <n v="0.89"/>
    <n v="4.32"/>
    <n v="0"/>
    <n v="23.52"/>
  </r>
  <r>
    <x v="0"/>
    <x v="1"/>
    <x v="4"/>
    <x v="2"/>
    <x v="0"/>
    <n v="77"/>
    <n v="5.79"/>
    <n v="0.13"/>
    <n v="0.81"/>
    <n v="4.03"/>
    <n v="2"/>
    <n v="27.68"/>
  </r>
  <r>
    <x v="0"/>
    <x v="2"/>
    <x v="0"/>
    <x v="0"/>
    <x v="2"/>
    <n v="78"/>
    <n v="6.29"/>
    <n v="0.02"/>
    <n v="0.77"/>
    <n v="4.21"/>
    <n v="1"/>
    <n v="26.44"/>
  </r>
  <r>
    <x v="0"/>
    <x v="2"/>
    <x v="0"/>
    <x v="1"/>
    <x v="0"/>
    <n v="70"/>
    <n v="5.29"/>
    <n v="0.04"/>
    <n v="0.75"/>
    <n v="4.1399999999999997"/>
    <n v="0"/>
    <n v="22.94"/>
  </r>
  <r>
    <x v="0"/>
    <x v="2"/>
    <x v="0"/>
    <x v="2"/>
    <x v="0"/>
    <n v="37"/>
    <n v="6.42"/>
    <n v="0.09"/>
    <n v="0.62"/>
    <n v="3.98"/>
    <n v="0"/>
    <n v="24.63"/>
  </r>
  <r>
    <x v="0"/>
    <x v="2"/>
    <x v="1"/>
    <x v="0"/>
    <x v="1"/>
    <n v="67"/>
    <n v="6.94"/>
    <n v="0.28999999999999998"/>
    <n v="0.82"/>
    <n v="4.68"/>
    <n v="0"/>
    <n v="25.41"/>
  </r>
  <r>
    <x v="0"/>
    <x v="2"/>
    <x v="1"/>
    <x v="1"/>
    <x v="0"/>
    <n v="62"/>
    <n v="5.74"/>
    <n v="0.05"/>
    <n v="0.86"/>
    <n v="3.87"/>
    <n v="0"/>
    <n v="23.61"/>
  </r>
  <r>
    <x v="0"/>
    <x v="2"/>
    <x v="1"/>
    <x v="2"/>
    <x v="0"/>
    <n v="46"/>
    <n v="8.7200000000000006"/>
    <n v="0.15"/>
    <n v="0.72"/>
    <n v="3.86"/>
    <n v="2"/>
    <n v="32.08"/>
  </r>
  <r>
    <x v="0"/>
    <x v="2"/>
    <x v="2"/>
    <x v="0"/>
    <x v="2"/>
    <n v="66"/>
    <n v="5.88"/>
    <n v="0.15"/>
    <n v="0.89"/>
    <n v="4.6100000000000003"/>
    <n v="0"/>
    <n v="23.82"/>
  </r>
  <r>
    <x v="0"/>
    <x v="2"/>
    <x v="2"/>
    <x v="1"/>
    <x v="0"/>
    <n v="52"/>
    <n v="6.74"/>
    <n v="0.05"/>
    <n v="0.82"/>
    <n v="3.98"/>
    <n v="0"/>
    <n v="25.11"/>
  </r>
  <r>
    <x v="0"/>
    <x v="2"/>
    <x v="2"/>
    <x v="2"/>
    <x v="2"/>
    <n v="32"/>
    <n v="5.12"/>
    <n v="0.1"/>
    <n v="0.85"/>
    <n v="3.68"/>
    <n v="0"/>
    <n v="22.68"/>
  </r>
  <r>
    <x v="0"/>
    <x v="2"/>
    <x v="3"/>
    <x v="0"/>
    <x v="2"/>
    <n v="46"/>
    <n v="6.15"/>
    <n v="0.13"/>
    <n v="0.77"/>
    <n v="4.42"/>
    <n v="0"/>
    <n v="24.22"/>
  </r>
  <r>
    <x v="0"/>
    <x v="2"/>
    <x v="3"/>
    <x v="1"/>
    <x v="1"/>
    <n v="55"/>
    <n v="6.3"/>
    <n v="0.28000000000000003"/>
    <n v="0.83"/>
    <n v="4.1500000000000004"/>
    <n v="1"/>
    <n v="26.45"/>
  </r>
  <r>
    <x v="0"/>
    <x v="2"/>
    <x v="3"/>
    <x v="2"/>
    <x v="0"/>
    <n v="75"/>
    <n v="6.26"/>
    <n v="0.12"/>
    <n v="0.82"/>
    <n v="3.94"/>
    <n v="0"/>
    <n v="24.39"/>
  </r>
  <r>
    <x v="0"/>
    <x v="2"/>
    <x v="4"/>
    <x v="0"/>
    <x v="1"/>
    <n v="52"/>
    <n v="4.8"/>
    <n v="0.09"/>
    <n v="0.9"/>
    <n v="4.59"/>
    <n v="2"/>
    <n v="26.2"/>
  </r>
  <r>
    <x v="0"/>
    <x v="2"/>
    <x v="4"/>
    <x v="1"/>
    <x v="1"/>
    <n v="71"/>
    <n v="7.2"/>
    <n v="0.26"/>
    <n v="0.8"/>
    <n v="3.67"/>
    <n v="0"/>
    <n v="25.8"/>
  </r>
  <r>
    <x v="0"/>
    <x v="2"/>
    <x v="4"/>
    <x v="2"/>
    <x v="2"/>
    <n v="73"/>
    <n v="5.95"/>
    <n v="0.13"/>
    <n v="0.65"/>
    <n v="4.03"/>
    <n v="1"/>
    <n v="25.92"/>
  </r>
  <r>
    <x v="0"/>
    <x v="3"/>
    <x v="0"/>
    <x v="0"/>
    <x v="1"/>
    <n v="45"/>
    <n v="6.52"/>
    <n v="0.28999999999999998"/>
    <n v="0.83"/>
    <n v="3.92"/>
    <n v="1"/>
    <n v="26.78"/>
  </r>
  <r>
    <x v="0"/>
    <x v="3"/>
    <x v="0"/>
    <x v="1"/>
    <x v="1"/>
    <n v="57"/>
    <n v="5.14"/>
    <n v="0.1"/>
    <n v="0.76"/>
    <n v="4.0599999999999996"/>
    <n v="1"/>
    <n v="24.71"/>
  </r>
  <r>
    <x v="0"/>
    <x v="3"/>
    <x v="0"/>
    <x v="2"/>
    <x v="1"/>
    <n v="30"/>
    <n v="6.84"/>
    <n v="0.16"/>
    <n v="0.66"/>
    <n v="3.62"/>
    <n v="0"/>
    <n v="25.26"/>
  </r>
  <r>
    <x v="0"/>
    <x v="3"/>
    <x v="1"/>
    <x v="0"/>
    <x v="2"/>
    <n v="30"/>
    <n v="8.1199999999999992"/>
    <n v="7.0000000000000007E-2"/>
    <n v="0.79"/>
    <n v="3.96"/>
    <n v="1"/>
    <n v="29.18"/>
  </r>
  <r>
    <x v="0"/>
    <x v="3"/>
    <x v="1"/>
    <x v="1"/>
    <x v="1"/>
    <n v="43"/>
    <n v="7.03"/>
    <n v="7.0000000000000007E-2"/>
    <n v="0.76"/>
    <n v="3.9"/>
    <n v="3"/>
    <n v="31.54"/>
  </r>
  <r>
    <x v="0"/>
    <x v="3"/>
    <x v="1"/>
    <x v="2"/>
    <x v="1"/>
    <n v="45"/>
    <n v="5.98"/>
    <n v="0.17"/>
    <n v="0.64"/>
    <n v="4.0599999999999996"/>
    <n v="0"/>
    <n v="23.97"/>
  </r>
  <r>
    <x v="0"/>
    <x v="3"/>
    <x v="2"/>
    <x v="0"/>
    <x v="0"/>
    <n v="34"/>
    <n v="5.07"/>
    <n v="0.14000000000000001"/>
    <n v="0.79"/>
    <n v="3.52"/>
    <n v="2"/>
    <n v="26.6"/>
  </r>
  <r>
    <x v="0"/>
    <x v="3"/>
    <x v="2"/>
    <x v="1"/>
    <x v="0"/>
    <n v="34"/>
    <n v="6.97"/>
    <n v="0.14000000000000001"/>
    <n v="0.89"/>
    <n v="4.63"/>
    <n v="1"/>
    <n v="27.46"/>
  </r>
  <r>
    <x v="0"/>
    <x v="3"/>
    <x v="2"/>
    <x v="2"/>
    <x v="2"/>
    <n v="41"/>
    <n v="7.54"/>
    <n v="7.0000000000000007E-2"/>
    <n v="0.76"/>
    <n v="4.0999999999999996"/>
    <n v="0"/>
    <n v="26.31"/>
  </r>
  <r>
    <x v="0"/>
    <x v="3"/>
    <x v="3"/>
    <x v="0"/>
    <x v="2"/>
    <n v="32"/>
    <n v="6.5"/>
    <n v="0.05"/>
    <n v="0.79"/>
    <n v="3.78"/>
    <n v="0"/>
    <n v="24.75"/>
  </r>
  <r>
    <x v="0"/>
    <x v="3"/>
    <x v="3"/>
    <x v="1"/>
    <x v="1"/>
    <n v="79"/>
    <n v="7.06"/>
    <n v="0.22"/>
    <n v="0.76"/>
    <n v="3.91"/>
    <n v="2"/>
    <n v="29.59"/>
  </r>
  <r>
    <x v="0"/>
    <x v="3"/>
    <x v="3"/>
    <x v="2"/>
    <x v="1"/>
    <n v="63"/>
    <n v="5.97"/>
    <n v="0.22"/>
    <n v="0.69"/>
    <n v="4.72"/>
    <n v="0"/>
    <n v="23.96"/>
  </r>
  <r>
    <x v="0"/>
    <x v="3"/>
    <x v="4"/>
    <x v="0"/>
    <x v="0"/>
    <n v="65"/>
    <n v="4.28"/>
    <n v="0.04"/>
    <n v="0.86"/>
    <n v="4.55"/>
    <n v="3"/>
    <n v="27.42"/>
  </r>
  <r>
    <x v="0"/>
    <x v="3"/>
    <x v="4"/>
    <x v="1"/>
    <x v="0"/>
    <n v="47"/>
    <n v="6.49"/>
    <n v="0.13"/>
    <n v="0.83"/>
    <n v="3.81"/>
    <n v="1"/>
    <n v="26.74"/>
  </r>
  <r>
    <x v="0"/>
    <x v="3"/>
    <x v="4"/>
    <x v="2"/>
    <x v="2"/>
    <n v="64"/>
    <n v="4.47"/>
    <n v="0.03"/>
    <n v="0.83"/>
    <n v="4.16"/>
    <n v="2"/>
    <n v="25.7"/>
  </r>
  <r>
    <x v="0"/>
    <x v="4"/>
    <x v="0"/>
    <x v="0"/>
    <x v="0"/>
    <n v="48"/>
    <n v="6.32"/>
    <n v="0.14000000000000001"/>
    <n v="0.84"/>
    <n v="4.32"/>
    <n v="0"/>
    <n v="24.48"/>
  </r>
  <r>
    <x v="0"/>
    <x v="4"/>
    <x v="0"/>
    <x v="1"/>
    <x v="1"/>
    <n v="54"/>
    <n v="5.87"/>
    <n v="0.19"/>
    <n v="0.78"/>
    <n v="4.7300000000000004"/>
    <n v="1"/>
    <n v="25.8"/>
  </r>
  <r>
    <x v="0"/>
    <x v="4"/>
    <x v="0"/>
    <x v="2"/>
    <x v="1"/>
    <n v="71"/>
    <n v="7.81"/>
    <n v="0.28999999999999998"/>
    <n v="0.77"/>
    <n v="4.59"/>
    <n v="2"/>
    <n v="30.72"/>
  </r>
  <r>
    <x v="0"/>
    <x v="4"/>
    <x v="1"/>
    <x v="0"/>
    <x v="2"/>
    <n v="75"/>
    <n v="6.4"/>
    <n v="0.11"/>
    <n v="0.76"/>
    <n v="4.57"/>
    <n v="1"/>
    <n v="26.6"/>
  </r>
  <r>
    <x v="0"/>
    <x v="4"/>
    <x v="1"/>
    <x v="1"/>
    <x v="1"/>
    <n v="66"/>
    <n v="6.45"/>
    <n v="0.27"/>
    <n v="0.88"/>
    <n v="3.81"/>
    <n v="2"/>
    <n v="28.68"/>
  </r>
  <r>
    <x v="0"/>
    <x v="4"/>
    <x v="1"/>
    <x v="2"/>
    <x v="0"/>
    <n v="65"/>
    <n v="4.54"/>
    <n v="7.0000000000000007E-2"/>
    <n v="0.62"/>
    <n v="4.51"/>
    <n v="0"/>
    <n v="21.81"/>
  </r>
  <r>
    <x v="0"/>
    <x v="4"/>
    <x v="2"/>
    <x v="0"/>
    <x v="0"/>
    <n v="55"/>
    <n v="5.28"/>
    <n v="0.05"/>
    <n v="0.81"/>
    <n v="4.24"/>
    <n v="1"/>
    <n v="24.92"/>
  </r>
  <r>
    <x v="0"/>
    <x v="4"/>
    <x v="2"/>
    <x v="1"/>
    <x v="2"/>
    <n v="70"/>
    <n v="4.12"/>
    <n v="0.12"/>
    <n v="0.85"/>
    <n v="3.81"/>
    <n v="0"/>
    <n v="21.18"/>
  </r>
  <r>
    <x v="0"/>
    <x v="4"/>
    <x v="2"/>
    <x v="2"/>
    <x v="0"/>
    <n v="54"/>
    <n v="5.66"/>
    <n v="0.15"/>
    <n v="0.6"/>
    <n v="4.76"/>
    <n v="0"/>
    <n v="23.49"/>
  </r>
  <r>
    <x v="0"/>
    <x v="4"/>
    <x v="3"/>
    <x v="0"/>
    <x v="2"/>
    <n v="50"/>
    <n v="6.46"/>
    <n v="0.15"/>
    <n v="0.76"/>
    <n v="4.22"/>
    <n v="3"/>
    <n v="30.69"/>
  </r>
  <r>
    <x v="0"/>
    <x v="4"/>
    <x v="3"/>
    <x v="1"/>
    <x v="0"/>
    <n v="70"/>
    <n v="5.3"/>
    <n v="0.15"/>
    <n v="0.85"/>
    <n v="4"/>
    <n v="1"/>
    <n v="24.95"/>
  </r>
  <r>
    <x v="0"/>
    <x v="4"/>
    <x v="3"/>
    <x v="2"/>
    <x v="2"/>
    <n v="39"/>
    <n v="5.03"/>
    <n v="0.14000000000000001"/>
    <n v="0.82"/>
    <n v="4.09"/>
    <n v="1"/>
    <n v="24.54"/>
  </r>
  <r>
    <x v="0"/>
    <x v="4"/>
    <x v="4"/>
    <x v="0"/>
    <x v="1"/>
    <n v="57"/>
    <n v="4.79"/>
    <n v="0.11"/>
    <n v="0.79"/>
    <n v="3.97"/>
    <n v="0"/>
    <n v="22.18"/>
  </r>
  <r>
    <x v="0"/>
    <x v="4"/>
    <x v="4"/>
    <x v="1"/>
    <x v="0"/>
    <n v="46"/>
    <n v="7.59"/>
    <n v="0.06"/>
    <n v="0.81"/>
    <n v="4.28"/>
    <n v="0"/>
    <n v="26.38"/>
  </r>
  <r>
    <x v="0"/>
    <x v="4"/>
    <x v="4"/>
    <x v="2"/>
    <x v="1"/>
    <n v="64"/>
    <n v="6.74"/>
    <n v="0.15"/>
    <n v="0.83"/>
    <n v="4.63"/>
    <n v="0"/>
    <n v="25.11"/>
  </r>
  <r>
    <x v="0"/>
    <x v="5"/>
    <x v="0"/>
    <x v="0"/>
    <x v="1"/>
    <n v="62"/>
    <n v="7.48"/>
    <n v="0.24"/>
    <n v="0.82"/>
    <n v="4.78"/>
    <n v="0"/>
    <n v="26.22"/>
  </r>
  <r>
    <x v="0"/>
    <x v="5"/>
    <x v="0"/>
    <x v="1"/>
    <x v="2"/>
    <n v="54"/>
    <n v="5.89"/>
    <n v="7.0000000000000007E-2"/>
    <n v="0.79"/>
    <n v="3.57"/>
    <n v="2"/>
    <n v="27.84"/>
  </r>
  <r>
    <x v="0"/>
    <x v="5"/>
    <x v="0"/>
    <x v="2"/>
    <x v="2"/>
    <n v="60"/>
    <n v="7.24"/>
    <n v="0.12"/>
    <n v="0.83"/>
    <n v="4.26"/>
    <n v="1"/>
    <n v="27.86"/>
  </r>
  <r>
    <x v="0"/>
    <x v="5"/>
    <x v="1"/>
    <x v="0"/>
    <x v="2"/>
    <n v="48"/>
    <n v="5.69"/>
    <n v="0.04"/>
    <n v="0.89"/>
    <n v="4.29"/>
    <n v="0"/>
    <n v="23.54"/>
  </r>
  <r>
    <x v="0"/>
    <x v="5"/>
    <x v="1"/>
    <x v="1"/>
    <x v="0"/>
    <n v="61"/>
    <n v="4.4000000000000004"/>
    <n v="0.03"/>
    <n v="0.79"/>
    <n v="3.53"/>
    <n v="0"/>
    <n v="21.6"/>
  </r>
  <r>
    <x v="0"/>
    <x v="5"/>
    <x v="1"/>
    <x v="2"/>
    <x v="0"/>
    <n v="32"/>
    <n v="7.18"/>
    <n v="0.09"/>
    <n v="0.74"/>
    <n v="4.6399999999999997"/>
    <n v="0"/>
    <n v="25.77"/>
  </r>
  <r>
    <x v="0"/>
    <x v="5"/>
    <x v="2"/>
    <x v="0"/>
    <x v="1"/>
    <n v="76"/>
    <n v="6.07"/>
    <n v="0.16"/>
    <n v="0.87"/>
    <n v="4.33"/>
    <n v="2"/>
    <n v="28.1"/>
  </r>
  <r>
    <x v="0"/>
    <x v="5"/>
    <x v="2"/>
    <x v="1"/>
    <x v="2"/>
    <n v="63"/>
    <n v="7.06"/>
    <n v="7.0000000000000007E-2"/>
    <n v="0.82"/>
    <n v="4.68"/>
    <n v="0"/>
    <n v="25.59"/>
  </r>
  <r>
    <x v="0"/>
    <x v="5"/>
    <x v="2"/>
    <x v="2"/>
    <x v="0"/>
    <n v="53"/>
    <n v="4.24"/>
    <n v="0.14000000000000001"/>
    <n v="0.67"/>
    <n v="4.18"/>
    <n v="1"/>
    <n v="23.36"/>
  </r>
  <r>
    <x v="0"/>
    <x v="5"/>
    <x v="3"/>
    <x v="0"/>
    <x v="2"/>
    <n v="39"/>
    <n v="5.99"/>
    <n v="0.05"/>
    <n v="0.82"/>
    <n v="4.7699999999999996"/>
    <n v="0"/>
    <n v="23.98"/>
  </r>
  <r>
    <x v="0"/>
    <x v="5"/>
    <x v="3"/>
    <x v="1"/>
    <x v="0"/>
    <n v="72"/>
    <n v="6.8"/>
    <n v="0.1"/>
    <n v="0.8"/>
    <n v="4.2"/>
    <n v="0"/>
    <n v="25.2"/>
  </r>
  <r>
    <x v="0"/>
    <x v="5"/>
    <x v="3"/>
    <x v="2"/>
    <x v="0"/>
    <n v="40"/>
    <n v="6.37"/>
    <n v="0.04"/>
    <n v="0.69"/>
    <n v="4.67"/>
    <n v="0"/>
    <n v="24.56"/>
  </r>
  <r>
    <x v="0"/>
    <x v="5"/>
    <x v="4"/>
    <x v="0"/>
    <x v="0"/>
    <n v="79"/>
    <n v="5.0599999999999996"/>
    <n v="0.1"/>
    <n v="0.78"/>
    <n v="4.57"/>
    <n v="0"/>
    <n v="22.59"/>
  </r>
  <r>
    <x v="0"/>
    <x v="5"/>
    <x v="4"/>
    <x v="1"/>
    <x v="0"/>
    <n v="51"/>
    <n v="4.57"/>
    <n v="7.0000000000000007E-2"/>
    <n v="0.83"/>
    <n v="4.4000000000000004"/>
    <n v="0"/>
    <n v="21.86"/>
  </r>
  <r>
    <x v="0"/>
    <x v="5"/>
    <x v="4"/>
    <x v="2"/>
    <x v="2"/>
    <n v="51"/>
    <n v="5.81"/>
    <n v="0.03"/>
    <n v="0.82"/>
    <n v="4.7"/>
    <n v="0"/>
    <n v="23.72"/>
  </r>
  <r>
    <x v="0"/>
    <x v="6"/>
    <x v="0"/>
    <x v="0"/>
    <x v="1"/>
    <n v="30"/>
    <n v="6.18"/>
    <n v="0.3"/>
    <n v="0.83"/>
    <n v="4.7"/>
    <n v="0"/>
    <n v="24.27"/>
  </r>
  <r>
    <x v="0"/>
    <x v="6"/>
    <x v="0"/>
    <x v="1"/>
    <x v="2"/>
    <n v="43"/>
    <n v="5.22"/>
    <n v="0.08"/>
    <n v="0.86"/>
    <n v="3.55"/>
    <n v="0"/>
    <n v="22.83"/>
  </r>
  <r>
    <x v="0"/>
    <x v="6"/>
    <x v="0"/>
    <x v="2"/>
    <x v="2"/>
    <n v="76"/>
    <n v="6.47"/>
    <n v="0.02"/>
    <n v="0.82"/>
    <n v="3.96"/>
    <n v="0"/>
    <n v="24.7"/>
  </r>
  <r>
    <x v="0"/>
    <x v="6"/>
    <x v="1"/>
    <x v="0"/>
    <x v="1"/>
    <n v="66"/>
    <n v="6.65"/>
    <n v="0.1"/>
    <n v="0.83"/>
    <n v="4.59"/>
    <n v="0"/>
    <n v="24.98"/>
  </r>
  <r>
    <x v="0"/>
    <x v="6"/>
    <x v="1"/>
    <x v="1"/>
    <x v="0"/>
    <n v="54"/>
    <n v="6.22"/>
    <n v="0.11"/>
    <n v="0.87"/>
    <n v="4.1500000000000004"/>
    <n v="0"/>
    <n v="24.33"/>
  </r>
  <r>
    <x v="0"/>
    <x v="6"/>
    <x v="1"/>
    <x v="2"/>
    <x v="0"/>
    <n v="63"/>
    <n v="6.91"/>
    <n v="0.09"/>
    <n v="0.75"/>
    <n v="4.2300000000000004"/>
    <n v="0"/>
    <n v="25.36"/>
  </r>
  <r>
    <x v="0"/>
    <x v="6"/>
    <x v="2"/>
    <x v="0"/>
    <x v="0"/>
    <n v="55"/>
    <n v="4.58"/>
    <n v="0.08"/>
    <n v="0.8"/>
    <n v="4.71"/>
    <n v="0"/>
    <n v="21.87"/>
  </r>
  <r>
    <x v="0"/>
    <x v="6"/>
    <x v="2"/>
    <x v="1"/>
    <x v="1"/>
    <n v="35"/>
    <n v="6.6"/>
    <n v="0.11"/>
    <n v="0.77"/>
    <n v="3.74"/>
    <n v="0"/>
    <n v="24.9"/>
  </r>
  <r>
    <x v="0"/>
    <x v="6"/>
    <x v="2"/>
    <x v="2"/>
    <x v="1"/>
    <n v="38"/>
    <n v="6.05"/>
    <n v="0.15"/>
    <n v="0.85"/>
    <n v="3.65"/>
    <n v="0"/>
    <n v="24.08"/>
  </r>
  <r>
    <x v="0"/>
    <x v="6"/>
    <x v="3"/>
    <x v="0"/>
    <x v="2"/>
    <n v="33"/>
    <n v="5.17"/>
    <n v="0.02"/>
    <n v="0.9"/>
    <n v="4.1399999999999997"/>
    <n v="1"/>
    <n v="24.76"/>
  </r>
  <r>
    <x v="0"/>
    <x v="6"/>
    <x v="3"/>
    <x v="1"/>
    <x v="2"/>
    <n v="31"/>
    <n v="8.0399999999999991"/>
    <n v="0.06"/>
    <n v="0.87"/>
    <n v="3.74"/>
    <n v="0"/>
    <n v="27.06"/>
  </r>
  <r>
    <x v="0"/>
    <x v="6"/>
    <x v="3"/>
    <x v="2"/>
    <x v="0"/>
    <n v="62"/>
    <n v="7.62"/>
    <n v="0.12"/>
    <n v="0.73"/>
    <n v="4.42"/>
    <n v="1"/>
    <n v="28.43"/>
  </r>
  <r>
    <x v="0"/>
    <x v="6"/>
    <x v="4"/>
    <x v="0"/>
    <x v="1"/>
    <n v="40"/>
    <n v="5.8"/>
    <n v="0.2"/>
    <n v="0.81"/>
    <n v="4.09"/>
    <n v="0"/>
    <n v="23.7"/>
  </r>
  <r>
    <x v="0"/>
    <x v="6"/>
    <x v="4"/>
    <x v="1"/>
    <x v="0"/>
    <n v="31"/>
    <n v="6.48"/>
    <n v="0.06"/>
    <n v="0.87"/>
    <n v="3.83"/>
    <n v="1"/>
    <n v="26.72"/>
  </r>
  <r>
    <x v="0"/>
    <x v="6"/>
    <x v="4"/>
    <x v="2"/>
    <x v="2"/>
    <n v="40"/>
    <n v="8.39"/>
    <n v="0.12"/>
    <n v="0.63"/>
    <n v="4.6100000000000003"/>
    <n v="1"/>
    <n v="29.58"/>
  </r>
  <r>
    <x v="0"/>
    <x v="7"/>
    <x v="0"/>
    <x v="0"/>
    <x v="0"/>
    <n v="40"/>
    <n v="5.4"/>
    <n v="0.14000000000000001"/>
    <n v="0.78"/>
    <n v="3.59"/>
    <n v="1"/>
    <n v="25.1"/>
  </r>
  <r>
    <x v="0"/>
    <x v="7"/>
    <x v="0"/>
    <x v="1"/>
    <x v="0"/>
    <n v="58"/>
    <n v="6.34"/>
    <n v="0.05"/>
    <n v="0.77"/>
    <n v="3.71"/>
    <n v="2"/>
    <n v="28.51"/>
  </r>
  <r>
    <x v="0"/>
    <x v="7"/>
    <x v="0"/>
    <x v="2"/>
    <x v="0"/>
    <n v="55"/>
    <n v="5.59"/>
    <n v="0.14000000000000001"/>
    <n v="0.68"/>
    <n v="4.26"/>
    <n v="1"/>
    <n v="25.38"/>
  </r>
  <r>
    <x v="0"/>
    <x v="7"/>
    <x v="1"/>
    <x v="0"/>
    <x v="0"/>
    <n v="69"/>
    <n v="5.32"/>
    <n v="0.06"/>
    <n v="0.86"/>
    <n v="4.1500000000000004"/>
    <n v="0"/>
    <n v="22.98"/>
  </r>
  <r>
    <x v="0"/>
    <x v="7"/>
    <x v="1"/>
    <x v="1"/>
    <x v="2"/>
    <n v="31"/>
    <n v="3.77"/>
    <n v="0.09"/>
    <n v="0.89"/>
    <n v="4.3099999999999996"/>
    <n v="0"/>
    <n v="20.66"/>
  </r>
  <r>
    <x v="0"/>
    <x v="7"/>
    <x v="1"/>
    <x v="2"/>
    <x v="2"/>
    <n v="36"/>
    <n v="6.92"/>
    <n v="0.04"/>
    <n v="0.82"/>
    <n v="4.1399999999999997"/>
    <n v="1"/>
    <n v="27.38"/>
  </r>
  <r>
    <x v="0"/>
    <x v="7"/>
    <x v="2"/>
    <x v="0"/>
    <x v="0"/>
    <n v="58"/>
    <n v="7.09"/>
    <n v="0.04"/>
    <n v="0.8"/>
    <n v="3.82"/>
    <n v="1"/>
    <n v="27.64"/>
  </r>
  <r>
    <x v="0"/>
    <x v="7"/>
    <x v="2"/>
    <x v="1"/>
    <x v="1"/>
    <n v="51"/>
    <n v="5.95"/>
    <n v="0.24"/>
    <n v="0.77"/>
    <n v="4.2"/>
    <n v="0"/>
    <n v="23.92"/>
  </r>
  <r>
    <x v="0"/>
    <x v="7"/>
    <x v="2"/>
    <x v="2"/>
    <x v="0"/>
    <n v="44"/>
    <n v="7.84"/>
    <n v="0.12"/>
    <n v="0.64"/>
    <n v="3.8"/>
    <n v="1"/>
    <n v="28.76"/>
  </r>
  <r>
    <x v="0"/>
    <x v="7"/>
    <x v="3"/>
    <x v="0"/>
    <x v="2"/>
    <n v="60"/>
    <n v="7.33"/>
    <n v="0.11"/>
    <n v="0.84"/>
    <n v="4.57"/>
    <n v="3"/>
    <n v="32"/>
  </r>
  <r>
    <x v="0"/>
    <x v="7"/>
    <x v="3"/>
    <x v="1"/>
    <x v="0"/>
    <n v="35"/>
    <n v="8"/>
    <n v="7.0000000000000007E-2"/>
    <n v="0.82"/>
    <n v="4.7300000000000004"/>
    <n v="0"/>
    <n v="27"/>
  </r>
  <r>
    <x v="0"/>
    <x v="7"/>
    <x v="3"/>
    <x v="2"/>
    <x v="0"/>
    <n v="47"/>
    <n v="5.8"/>
    <n v="0.13"/>
    <n v="0.83"/>
    <n v="4.2300000000000004"/>
    <n v="1"/>
    <n v="25.7"/>
  </r>
  <r>
    <x v="0"/>
    <x v="7"/>
    <x v="4"/>
    <x v="0"/>
    <x v="2"/>
    <n v="37"/>
    <n v="6.05"/>
    <n v="0.1"/>
    <n v="0.87"/>
    <n v="3.99"/>
    <n v="0"/>
    <n v="24.08"/>
  </r>
  <r>
    <x v="0"/>
    <x v="7"/>
    <x v="4"/>
    <x v="1"/>
    <x v="1"/>
    <n v="43"/>
    <n v="5.01"/>
    <n v="0.3"/>
    <n v="0.88"/>
    <n v="3.66"/>
    <n v="2"/>
    <n v="26.52"/>
  </r>
  <r>
    <x v="0"/>
    <x v="7"/>
    <x v="4"/>
    <x v="2"/>
    <x v="2"/>
    <n v="69"/>
    <n v="5.87"/>
    <n v="0.1"/>
    <n v="0.69"/>
    <n v="4.47"/>
    <n v="0"/>
    <n v="23.8"/>
  </r>
  <r>
    <x v="0"/>
    <x v="8"/>
    <x v="0"/>
    <x v="0"/>
    <x v="2"/>
    <n v="55"/>
    <n v="4.99"/>
    <n v="0.09"/>
    <n v="0.89"/>
    <n v="3.95"/>
    <n v="0"/>
    <n v="22.48"/>
  </r>
  <r>
    <x v="0"/>
    <x v="8"/>
    <x v="0"/>
    <x v="1"/>
    <x v="2"/>
    <n v="46"/>
    <n v="4.3499999999999996"/>
    <n v="0.1"/>
    <n v="0.75"/>
    <n v="4.6900000000000004"/>
    <n v="0"/>
    <n v="21.52"/>
  </r>
  <r>
    <x v="0"/>
    <x v="8"/>
    <x v="0"/>
    <x v="2"/>
    <x v="0"/>
    <n v="35"/>
    <n v="5.28"/>
    <n v="0.05"/>
    <n v="0.65"/>
    <n v="4.17"/>
    <n v="3"/>
    <n v="28.92"/>
  </r>
  <r>
    <x v="0"/>
    <x v="8"/>
    <x v="1"/>
    <x v="0"/>
    <x v="0"/>
    <n v="49"/>
    <n v="6.91"/>
    <n v="7.0000000000000007E-2"/>
    <n v="0.76"/>
    <n v="4.8"/>
    <n v="0"/>
    <n v="25.36"/>
  </r>
  <r>
    <x v="0"/>
    <x v="8"/>
    <x v="1"/>
    <x v="1"/>
    <x v="0"/>
    <n v="42"/>
    <n v="4.6399999999999997"/>
    <n v="0.12"/>
    <n v="0.8"/>
    <n v="4.1100000000000003"/>
    <n v="1"/>
    <n v="23.96"/>
  </r>
  <r>
    <x v="0"/>
    <x v="8"/>
    <x v="1"/>
    <x v="2"/>
    <x v="0"/>
    <n v="45"/>
    <n v="4.09"/>
    <n v="0.09"/>
    <n v="0.62"/>
    <n v="4.51"/>
    <n v="0"/>
    <n v="21.14"/>
  </r>
  <r>
    <x v="0"/>
    <x v="8"/>
    <x v="2"/>
    <x v="0"/>
    <x v="0"/>
    <n v="57"/>
    <n v="5.44"/>
    <n v="0.12"/>
    <n v="0.77"/>
    <n v="3.93"/>
    <n v="0"/>
    <n v="23.16"/>
  </r>
  <r>
    <x v="0"/>
    <x v="8"/>
    <x v="2"/>
    <x v="1"/>
    <x v="2"/>
    <n v="39"/>
    <n v="2.4300000000000002"/>
    <n v="0.06"/>
    <n v="0.85"/>
    <n v="4.03"/>
    <n v="0"/>
    <n v="18.64"/>
  </r>
  <r>
    <x v="0"/>
    <x v="8"/>
    <x v="2"/>
    <x v="2"/>
    <x v="1"/>
    <n v="79"/>
    <n v="5.74"/>
    <n v="0.19"/>
    <n v="0.66"/>
    <n v="3.75"/>
    <n v="0"/>
    <n v="23.61"/>
  </r>
  <r>
    <x v="0"/>
    <x v="8"/>
    <x v="3"/>
    <x v="0"/>
    <x v="0"/>
    <n v="76"/>
    <n v="7.02"/>
    <n v="0.09"/>
    <n v="0.88"/>
    <n v="4.22"/>
    <n v="1"/>
    <n v="27.53"/>
  </r>
  <r>
    <x v="0"/>
    <x v="8"/>
    <x v="3"/>
    <x v="1"/>
    <x v="2"/>
    <n v="53"/>
    <n v="6.71"/>
    <n v="0.13"/>
    <n v="0.81"/>
    <n v="4.37"/>
    <n v="0"/>
    <n v="25.06"/>
  </r>
  <r>
    <x v="0"/>
    <x v="8"/>
    <x v="3"/>
    <x v="2"/>
    <x v="1"/>
    <n v="77"/>
    <n v="6.44"/>
    <n v="7.0000000000000007E-2"/>
    <n v="0.76"/>
    <n v="4.46"/>
    <n v="2"/>
    <n v="28.66"/>
  </r>
  <r>
    <x v="0"/>
    <x v="8"/>
    <x v="4"/>
    <x v="0"/>
    <x v="1"/>
    <n v="48"/>
    <n v="4.33"/>
    <n v="0.27"/>
    <n v="0.87"/>
    <n v="3.94"/>
    <n v="0"/>
    <n v="21.5"/>
  </r>
  <r>
    <x v="0"/>
    <x v="8"/>
    <x v="4"/>
    <x v="1"/>
    <x v="0"/>
    <n v="52"/>
    <n v="7.76"/>
    <n v="0.02"/>
    <n v="0.87"/>
    <n v="3.95"/>
    <n v="1"/>
    <n v="28.64"/>
  </r>
  <r>
    <x v="0"/>
    <x v="8"/>
    <x v="4"/>
    <x v="2"/>
    <x v="0"/>
    <n v="73"/>
    <n v="5.64"/>
    <n v="0.09"/>
    <n v="0.85"/>
    <n v="4.1100000000000003"/>
    <n v="0"/>
    <n v="23.46"/>
  </r>
  <r>
    <x v="0"/>
    <x v="9"/>
    <x v="0"/>
    <x v="0"/>
    <x v="0"/>
    <n v="46"/>
    <n v="6.26"/>
    <n v="0.05"/>
    <n v="0.83"/>
    <n v="4.32"/>
    <n v="0"/>
    <n v="24.39"/>
  </r>
  <r>
    <x v="0"/>
    <x v="9"/>
    <x v="0"/>
    <x v="1"/>
    <x v="1"/>
    <n v="72"/>
    <n v="4.96"/>
    <n v="0.28000000000000003"/>
    <n v="0.85"/>
    <n v="4.3899999999999997"/>
    <n v="2"/>
    <n v="26.44"/>
  </r>
  <r>
    <x v="0"/>
    <x v="9"/>
    <x v="0"/>
    <x v="2"/>
    <x v="0"/>
    <n v="71"/>
    <n v="5.78"/>
    <n v="0.09"/>
    <n v="0.67"/>
    <n v="4.22"/>
    <n v="1"/>
    <n v="25.67"/>
  </r>
  <r>
    <x v="0"/>
    <x v="9"/>
    <x v="1"/>
    <x v="0"/>
    <x v="2"/>
    <n v="52"/>
    <n v="5.0999999999999996"/>
    <n v="0.12"/>
    <n v="0.79"/>
    <n v="4.32"/>
    <n v="0"/>
    <n v="22.65"/>
  </r>
  <r>
    <x v="0"/>
    <x v="9"/>
    <x v="1"/>
    <x v="1"/>
    <x v="0"/>
    <n v="46"/>
    <n v="5.09"/>
    <n v="7.0000000000000007E-2"/>
    <n v="0.81"/>
    <n v="4.17"/>
    <n v="0"/>
    <n v="22.64"/>
  </r>
  <r>
    <x v="0"/>
    <x v="9"/>
    <x v="1"/>
    <x v="2"/>
    <x v="1"/>
    <n v="72"/>
    <n v="5.77"/>
    <n v="0.28000000000000003"/>
    <n v="0.78"/>
    <n v="4.29"/>
    <n v="2"/>
    <n v="27.66"/>
  </r>
  <r>
    <x v="0"/>
    <x v="9"/>
    <x v="2"/>
    <x v="0"/>
    <x v="0"/>
    <n v="53"/>
    <n v="7.21"/>
    <n v="0.14000000000000001"/>
    <n v="0.86"/>
    <n v="3.78"/>
    <n v="0"/>
    <n v="25.82"/>
  </r>
  <r>
    <x v="0"/>
    <x v="9"/>
    <x v="2"/>
    <x v="1"/>
    <x v="1"/>
    <n v="64"/>
    <n v="6.24"/>
    <n v="0.28999999999999998"/>
    <n v="0.77"/>
    <n v="4.3099999999999996"/>
    <n v="0"/>
    <n v="24.36"/>
  </r>
  <r>
    <x v="0"/>
    <x v="9"/>
    <x v="2"/>
    <x v="2"/>
    <x v="0"/>
    <n v="69"/>
    <n v="6.23"/>
    <n v="0.11"/>
    <n v="0.72"/>
    <n v="4.3899999999999997"/>
    <n v="0"/>
    <n v="24.34"/>
  </r>
  <r>
    <x v="0"/>
    <x v="9"/>
    <x v="3"/>
    <x v="0"/>
    <x v="1"/>
    <n v="32"/>
    <n v="5.69"/>
    <n v="0.25"/>
    <n v="0.89"/>
    <n v="4.53"/>
    <n v="1"/>
    <n v="25.54"/>
  </r>
  <r>
    <x v="0"/>
    <x v="9"/>
    <x v="3"/>
    <x v="1"/>
    <x v="0"/>
    <n v="41"/>
    <n v="5.34"/>
    <n v="0.09"/>
    <n v="0.88"/>
    <n v="4.45"/>
    <n v="2"/>
    <n v="27.01"/>
  </r>
  <r>
    <x v="0"/>
    <x v="9"/>
    <x v="3"/>
    <x v="2"/>
    <x v="0"/>
    <n v="45"/>
    <n v="5.55"/>
    <n v="0.08"/>
    <n v="0.66"/>
    <n v="4.78"/>
    <n v="2"/>
    <n v="27.32"/>
  </r>
  <r>
    <x v="0"/>
    <x v="9"/>
    <x v="4"/>
    <x v="0"/>
    <x v="1"/>
    <n v="39"/>
    <n v="6.63"/>
    <n v="0.2"/>
    <n v="0.9"/>
    <n v="4.22"/>
    <n v="0"/>
    <n v="24.94"/>
  </r>
  <r>
    <x v="0"/>
    <x v="9"/>
    <x v="4"/>
    <x v="1"/>
    <x v="0"/>
    <n v="44"/>
    <n v="4.92"/>
    <n v="0.14000000000000001"/>
    <n v="0.9"/>
    <n v="4.7300000000000004"/>
    <n v="0"/>
    <n v="22.38"/>
  </r>
  <r>
    <x v="0"/>
    <x v="9"/>
    <x v="4"/>
    <x v="2"/>
    <x v="2"/>
    <n v="68"/>
    <n v="7.05"/>
    <n v="0.08"/>
    <n v="0.73"/>
    <n v="4.34"/>
    <n v="1"/>
    <n v="27.58"/>
  </r>
  <r>
    <x v="1"/>
    <x v="0"/>
    <x v="0"/>
    <x v="0"/>
    <x v="0"/>
    <n v="73"/>
    <n v="6.46"/>
    <n v="0.11"/>
    <n v="0.76"/>
    <n v="3.91"/>
    <n v="0"/>
    <n v="24.69"/>
  </r>
  <r>
    <x v="1"/>
    <x v="0"/>
    <x v="0"/>
    <x v="1"/>
    <x v="2"/>
    <n v="54"/>
    <n v="8.7799999999999994"/>
    <n v="0.12"/>
    <n v="0.83"/>
    <n v="4.05"/>
    <n v="2"/>
    <n v="32.17"/>
  </r>
  <r>
    <x v="1"/>
    <x v="0"/>
    <x v="0"/>
    <x v="2"/>
    <x v="0"/>
    <n v="64"/>
    <n v="7.58"/>
    <n v="0.14000000000000001"/>
    <n v="0.8"/>
    <n v="4.8"/>
    <n v="0"/>
    <n v="26.37"/>
  </r>
  <r>
    <x v="1"/>
    <x v="0"/>
    <x v="1"/>
    <x v="0"/>
    <x v="2"/>
    <n v="58"/>
    <n v="8.57"/>
    <n v="0.02"/>
    <n v="0.82"/>
    <n v="4.25"/>
    <n v="0"/>
    <n v="27.86"/>
  </r>
  <r>
    <x v="1"/>
    <x v="0"/>
    <x v="1"/>
    <x v="1"/>
    <x v="0"/>
    <n v="59"/>
    <n v="5.82"/>
    <n v="0.12"/>
    <n v="0.79"/>
    <n v="3.64"/>
    <n v="0"/>
    <n v="23.73"/>
  </r>
  <r>
    <x v="1"/>
    <x v="0"/>
    <x v="1"/>
    <x v="2"/>
    <x v="1"/>
    <n v="33"/>
    <n v="5.74"/>
    <n v="0.23"/>
    <n v="0.75"/>
    <n v="3.86"/>
    <n v="2"/>
    <n v="27.61"/>
  </r>
  <r>
    <x v="1"/>
    <x v="0"/>
    <x v="2"/>
    <x v="0"/>
    <x v="1"/>
    <n v="44"/>
    <n v="9.0500000000000007"/>
    <n v="0.1"/>
    <n v="0.89"/>
    <n v="4.5199999999999996"/>
    <n v="0"/>
    <n v="28.58"/>
  </r>
  <r>
    <x v="1"/>
    <x v="0"/>
    <x v="2"/>
    <x v="1"/>
    <x v="0"/>
    <n v="75"/>
    <n v="6.5"/>
    <n v="0.1"/>
    <n v="0.89"/>
    <n v="4.79"/>
    <n v="1"/>
    <n v="26.75"/>
  </r>
  <r>
    <x v="1"/>
    <x v="0"/>
    <x v="2"/>
    <x v="2"/>
    <x v="1"/>
    <n v="37"/>
    <n v="7.67"/>
    <n v="0.2"/>
    <n v="0.73"/>
    <n v="3.8"/>
    <n v="0"/>
    <n v="26.5"/>
  </r>
  <r>
    <x v="1"/>
    <x v="0"/>
    <x v="3"/>
    <x v="0"/>
    <x v="1"/>
    <n v="78"/>
    <n v="7.99"/>
    <n v="0.28999999999999998"/>
    <n v="0.87"/>
    <n v="4.54"/>
    <n v="1"/>
    <n v="28.98"/>
  </r>
  <r>
    <x v="1"/>
    <x v="0"/>
    <x v="3"/>
    <x v="1"/>
    <x v="1"/>
    <n v="38"/>
    <n v="7.13"/>
    <n v="0.24"/>
    <n v="0.85"/>
    <n v="3.7"/>
    <n v="2"/>
    <n v="29.7"/>
  </r>
  <r>
    <x v="1"/>
    <x v="0"/>
    <x v="3"/>
    <x v="2"/>
    <x v="1"/>
    <n v="76"/>
    <n v="6.33"/>
    <n v="0.06"/>
    <n v="0.82"/>
    <n v="4.62"/>
    <n v="0"/>
    <n v="24.5"/>
  </r>
  <r>
    <x v="1"/>
    <x v="0"/>
    <x v="4"/>
    <x v="0"/>
    <x v="0"/>
    <n v="57"/>
    <n v="6.9"/>
    <n v="0.13"/>
    <n v="0.76"/>
    <n v="3.93"/>
    <n v="2"/>
    <n v="29.35"/>
  </r>
  <r>
    <x v="1"/>
    <x v="0"/>
    <x v="4"/>
    <x v="1"/>
    <x v="2"/>
    <n v="63"/>
    <n v="7.47"/>
    <n v="7.0000000000000007E-2"/>
    <n v="0.81"/>
    <n v="3.84"/>
    <n v="1"/>
    <n v="28.2"/>
  </r>
  <r>
    <x v="1"/>
    <x v="0"/>
    <x v="4"/>
    <x v="2"/>
    <x v="0"/>
    <n v="35"/>
    <n v="8.41"/>
    <n v="0.09"/>
    <n v="0.77"/>
    <n v="4.21"/>
    <n v="2"/>
    <n v="31.62"/>
  </r>
  <r>
    <x v="1"/>
    <x v="1"/>
    <x v="0"/>
    <x v="0"/>
    <x v="2"/>
    <n v="53"/>
    <n v="7.54"/>
    <n v="0.12"/>
    <n v="0.85"/>
    <n v="4.6100000000000003"/>
    <n v="2"/>
    <n v="30.31"/>
  </r>
  <r>
    <x v="1"/>
    <x v="1"/>
    <x v="0"/>
    <x v="1"/>
    <x v="2"/>
    <n v="72"/>
    <n v="7.82"/>
    <n v="0.04"/>
    <n v="0.88"/>
    <n v="4.75"/>
    <n v="0"/>
    <n v="26.73"/>
  </r>
  <r>
    <x v="1"/>
    <x v="1"/>
    <x v="0"/>
    <x v="2"/>
    <x v="2"/>
    <n v="71"/>
    <n v="6.87"/>
    <n v="0.04"/>
    <n v="0.68"/>
    <n v="4.47"/>
    <n v="0"/>
    <n v="25.3"/>
  </r>
  <r>
    <x v="1"/>
    <x v="1"/>
    <x v="1"/>
    <x v="0"/>
    <x v="2"/>
    <n v="43"/>
    <n v="6.69"/>
    <n v="0.05"/>
    <n v="0.76"/>
    <n v="3.92"/>
    <n v="0"/>
    <n v="25.04"/>
  </r>
  <r>
    <x v="1"/>
    <x v="1"/>
    <x v="1"/>
    <x v="1"/>
    <x v="1"/>
    <n v="63"/>
    <n v="8.36"/>
    <n v="0.21"/>
    <n v="0.83"/>
    <n v="4.51"/>
    <n v="0"/>
    <n v="27.54"/>
  </r>
  <r>
    <x v="1"/>
    <x v="1"/>
    <x v="1"/>
    <x v="2"/>
    <x v="2"/>
    <n v="39"/>
    <n v="8.69"/>
    <n v="7.0000000000000007E-2"/>
    <n v="0.64"/>
    <n v="4.4800000000000004"/>
    <n v="1"/>
    <n v="30.04"/>
  </r>
  <r>
    <x v="1"/>
    <x v="1"/>
    <x v="2"/>
    <x v="0"/>
    <x v="1"/>
    <n v="65"/>
    <n v="7.26"/>
    <n v="7.0000000000000007E-2"/>
    <n v="0.8"/>
    <n v="4.42"/>
    <n v="0"/>
    <n v="25.89"/>
  </r>
  <r>
    <x v="1"/>
    <x v="1"/>
    <x v="2"/>
    <x v="1"/>
    <x v="0"/>
    <n v="30"/>
    <n v="6.91"/>
    <n v="0.1"/>
    <n v="0.84"/>
    <n v="4"/>
    <n v="0"/>
    <n v="25.36"/>
  </r>
  <r>
    <x v="1"/>
    <x v="1"/>
    <x v="2"/>
    <x v="2"/>
    <x v="2"/>
    <n v="76"/>
    <n v="9.41"/>
    <n v="0.08"/>
    <n v="0.79"/>
    <n v="4.3899999999999997"/>
    <n v="0"/>
    <n v="29.12"/>
  </r>
  <r>
    <x v="1"/>
    <x v="1"/>
    <x v="3"/>
    <x v="0"/>
    <x v="1"/>
    <n v="58"/>
    <n v="7.59"/>
    <n v="0.26"/>
    <n v="0.79"/>
    <n v="4.59"/>
    <n v="1"/>
    <n v="28.38"/>
  </r>
  <r>
    <x v="1"/>
    <x v="1"/>
    <x v="3"/>
    <x v="1"/>
    <x v="1"/>
    <n v="40"/>
    <n v="8.67"/>
    <n v="0.12"/>
    <n v="0.89"/>
    <n v="3.7"/>
    <n v="0"/>
    <n v="28"/>
  </r>
  <r>
    <x v="1"/>
    <x v="1"/>
    <x v="3"/>
    <x v="2"/>
    <x v="2"/>
    <n v="45"/>
    <n v="7.16"/>
    <n v="0.06"/>
    <n v="0.68"/>
    <n v="4.4400000000000004"/>
    <n v="1"/>
    <n v="27.74"/>
  </r>
  <r>
    <x v="1"/>
    <x v="1"/>
    <x v="4"/>
    <x v="0"/>
    <x v="1"/>
    <n v="78"/>
    <n v="9.0500000000000007"/>
    <n v="0.21"/>
    <n v="0.81"/>
    <n v="4.62"/>
    <n v="0"/>
    <n v="28.58"/>
  </r>
  <r>
    <x v="1"/>
    <x v="1"/>
    <x v="4"/>
    <x v="1"/>
    <x v="2"/>
    <n v="75"/>
    <n v="7.34"/>
    <n v="0.09"/>
    <n v="0.75"/>
    <n v="4.54"/>
    <n v="0"/>
    <n v="26.01"/>
  </r>
  <r>
    <x v="1"/>
    <x v="1"/>
    <x v="4"/>
    <x v="2"/>
    <x v="2"/>
    <n v="32"/>
    <n v="6.31"/>
    <n v="0.04"/>
    <n v="0.72"/>
    <n v="3.5"/>
    <n v="0"/>
    <n v="24.46"/>
  </r>
  <r>
    <x v="1"/>
    <x v="2"/>
    <x v="0"/>
    <x v="0"/>
    <x v="0"/>
    <n v="49"/>
    <n v="6.14"/>
    <n v="0.08"/>
    <n v="0.76"/>
    <n v="4.26"/>
    <n v="0"/>
    <n v="24.21"/>
  </r>
  <r>
    <x v="1"/>
    <x v="2"/>
    <x v="0"/>
    <x v="1"/>
    <x v="2"/>
    <n v="40"/>
    <n v="7.18"/>
    <n v="0.15"/>
    <n v="0.77"/>
    <n v="4.0999999999999996"/>
    <n v="1"/>
    <n v="27.77"/>
  </r>
  <r>
    <x v="1"/>
    <x v="2"/>
    <x v="0"/>
    <x v="2"/>
    <x v="0"/>
    <n v="76"/>
    <n v="5.92"/>
    <n v="0.11"/>
    <n v="0.82"/>
    <n v="4.51"/>
    <n v="0"/>
    <n v="23.88"/>
  </r>
  <r>
    <x v="1"/>
    <x v="2"/>
    <x v="1"/>
    <x v="0"/>
    <x v="0"/>
    <n v="53"/>
    <n v="8.26"/>
    <n v="0.04"/>
    <n v="0.77"/>
    <n v="4.24"/>
    <n v="0"/>
    <n v="27.39"/>
  </r>
  <r>
    <x v="1"/>
    <x v="2"/>
    <x v="1"/>
    <x v="1"/>
    <x v="0"/>
    <n v="57"/>
    <n v="8.02"/>
    <n v="0.02"/>
    <n v="0.8"/>
    <n v="4.17"/>
    <n v="0"/>
    <n v="27.03"/>
  </r>
  <r>
    <x v="1"/>
    <x v="2"/>
    <x v="1"/>
    <x v="2"/>
    <x v="0"/>
    <n v="62"/>
    <n v="9.2799999999999994"/>
    <n v="0.13"/>
    <n v="0.69"/>
    <n v="3.92"/>
    <n v="3"/>
    <n v="34.92"/>
  </r>
  <r>
    <x v="1"/>
    <x v="2"/>
    <x v="2"/>
    <x v="0"/>
    <x v="1"/>
    <n v="79"/>
    <n v="7.85"/>
    <n v="0.08"/>
    <n v="0.88"/>
    <n v="4.2699999999999996"/>
    <n v="1"/>
    <n v="28.78"/>
  </r>
  <r>
    <x v="1"/>
    <x v="2"/>
    <x v="2"/>
    <x v="1"/>
    <x v="0"/>
    <n v="70"/>
    <n v="7.63"/>
    <n v="0.11"/>
    <n v="0.88"/>
    <n v="4.43"/>
    <n v="2"/>
    <n v="30.44"/>
  </r>
  <r>
    <x v="1"/>
    <x v="2"/>
    <x v="2"/>
    <x v="2"/>
    <x v="0"/>
    <n v="36"/>
    <n v="8.15"/>
    <n v="0.1"/>
    <n v="0.8"/>
    <n v="4.13"/>
    <n v="0"/>
    <n v="27.22"/>
  </r>
  <r>
    <x v="1"/>
    <x v="2"/>
    <x v="3"/>
    <x v="0"/>
    <x v="1"/>
    <n v="43"/>
    <n v="9.48"/>
    <n v="7.0000000000000007E-2"/>
    <n v="0.76"/>
    <n v="3.82"/>
    <n v="0"/>
    <n v="29.22"/>
  </r>
  <r>
    <x v="1"/>
    <x v="2"/>
    <x v="3"/>
    <x v="1"/>
    <x v="2"/>
    <n v="48"/>
    <n v="8.02"/>
    <n v="0.11"/>
    <n v="0.82"/>
    <n v="4.22"/>
    <n v="1"/>
    <n v="29.03"/>
  </r>
  <r>
    <x v="1"/>
    <x v="2"/>
    <x v="3"/>
    <x v="2"/>
    <x v="1"/>
    <n v="61"/>
    <n v="6.93"/>
    <n v="0.19"/>
    <n v="0.72"/>
    <n v="3.61"/>
    <n v="0"/>
    <n v="25.4"/>
  </r>
  <r>
    <x v="1"/>
    <x v="2"/>
    <x v="4"/>
    <x v="0"/>
    <x v="1"/>
    <n v="44"/>
    <n v="7.24"/>
    <n v="0.27"/>
    <n v="0.86"/>
    <n v="4.47"/>
    <n v="0"/>
    <n v="25.86"/>
  </r>
  <r>
    <x v="1"/>
    <x v="2"/>
    <x v="4"/>
    <x v="1"/>
    <x v="0"/>
    <n v="73"/>
    <n v="5.83"/>
    <n v="0.12"/>
    <n v="0.83"/>
    <n v="4.21"/>
    <n v="0"/>
    <n v="23.74"/>
  </r>
  <r>
    <x v="1"/>
    <x v="2"/>
    <x v="4"/>
    <x v="2"/>
    <x v="0"/>
    <n v="63"/>
    <n v="8.58"/>
    <n v="0.14000000000000001"/>
    <n v="0.71"/>
    <n v="3.86"/>
    <n v="0"/>
    <n v="27.87"/>
  </r>
  <r>
    <x v="1"/>
    <x v="3"/>
    <x v="0"/>
    <x v="0"/>
    <x v="2"/>
    <n v="41"/>
    <n v="7.46"/>
    <n v="7.0000000000000007E-2"/>
    <n v="0.82"/>
    <n v="4.59"/>
    <n v="0"/>
    <n v="26.19"/>
  </r>
  <r>
    <x v="1"/>
    <x v="3"/>
    <x v="0"/>
    <x v="1"/>
    <x v="2"/>
    <n v="65"/>
    <n v="7.82"/>
    <n v="0.08"/>
    <n v="0.79"/>
    <n v="4.63"/>
    <n v="0"/>
    <n v="26.73"/>
  </r>
  <r>
    <x v="1"/>
    <x v="3"/>
    <x v="0"/>
    <x v="2"/>
    <x v="0"/>
    <n v="54"/>
    <n v="7.21"/>
    <n v="0.11"/>
    <n v="0.62"/>
    <n v="4.3499999999999996"/>
    <n v="0"/>
    <n v="25.82"/>
  </r>
  <r>
    <x v="1"/>
    <x v="3"/>
    <x v="1"/>
    <x v="0"/>
    <x v="0"/>
    <n v="64"/>
    <n v="6.21"/>
    <n v="0.12"/>
    <n v="0.77"/>
    <n v="4.76"/>
    <n v="0"/>
    <n v="24.32"/>
  </r>
  <r>
    <x v="1"/>
    <x v="3"/>
    <x v="1"/>
    <x v="1"/>
    <x v="1"/>
    <n v="32"/>
    <n v="8.66"/>
    <n v="0.16"/>
    <n v="0.8"/>
    <n v="4.08"/>
    <n v="1"/>
    <n v="29.99"/>
  </r>
  <r>
    <x v="1"/>
    <x v="3"/>
    <x v="1"/>
    <x v="2"/>
    <x v="1"/>
    <n v="34"/>
    <n v="8.15"/>
    <n v="0.23"/>
    <n v="0.64"/>
    <n v="3.72"/>
    <n v="0"/>
    <n v="27.22"/>
  </r>
  <r>
    <x v="1"/>
    <x v="3"/>
    <x v="2"/>
    <x v="0"/>
    <x v="2"/>
    <n v="66"/>
    <n v="6.11"/>
    <n v="0.09"/>
    <n v="0.87"/>
    <n v="4.42"/>
    <n v="0"/>
    <n v="24.16"/>
  </r>
  <r>
    <x v="1"/>
    <x v="3"/>
    <x v="2"/>
    <x v="1"/>
    <x v="2"/>
    <n v="35"/>
    <n v="7.24"/>
    <n v="0.06"/>
    <n v="0.76"/>
    <n v="4.1900000000000004"/>
    <n v="2"/>
    <n v="29.86"/>
  </r>
  <r>
    <x v="1"/>
    <x v="3"/>
    <x v="2"/>
    <x v="2"/>
    <x v="1"/>
    <n v="64"/>
    <n v="7.3"/>
    <n v="0.16"/>
    <n v="0.83"/>
    <n v="3.91"/>
    <n v="0"/>
    <n v="25.95"/>
  </r>
  <r>
    <x v="1"/>
    <x v="3"/>
    <x v="3"/>
    <x v="0"/>
    <x v="1"/>
    <n v="71"/>
    <n v="7.02"/>
    <n v="0.22"/>
    <n v="0.75"/>
    <n v="3.92"/>
    <n v="3"/>
    <n v="31.53"/>
  </r>
  <r>
    <x v="1"/>
    <x v="3"/>
    <x v="3"/>
    <x v="1"/>
    <x v="0"/>
    <n v="76"/>
    <n v="5.04"/>
    <n v="0.09"/>
    <n v="0.8"/>
    <n v="4.1900000000000004"/>
    <n v="0"/>
    <n v="22.56"/>
  </r>
  <r>
    <x v="1"/>
    <x v="3"/>
    <x v="3"/>
    <x v="2"/>
    <x v="1"/>
    <n v="45"/>
    <n v="7.56"/>
    <n v="0.09"/>
    <n v="0.65"/>
    <n v="4.45"/>
    <n v="0"/>
    <n v="26.34"/>
  </r>
  <r>
    <x v="1"/>
    <x v="3"/>
    <x v="4"/>
    <x v="0"/>
    <x v="1"/>
    <n v="76"/>
    <n v="7.62"/>
    <n v="0.09"/>
    <n v="0.85"/>
    <n v="4.59"/>
    <n v="2"/>
    <n v="30.43"/>
  </r>
  <r>
    <x v="1"/>
    <x v="3"/>
    <x v="4"/>
    <x v="1"/>
    <x v="0"/>
    <n v="79"/>
    <n v="8.17"/>
    <n v="0.13"/>
    <n v="0.87"/>
    <n v="3.65"/>
    <n v="1"/>
    <n v="29.26"/>
  </r>
  <r>
    <x v="1"/>
    <x v="3"/>
    <x v="4"/>
    <x v="2"/>
    <x v="2"/>
    <n v="30"/>
    <n v="6.98"/>
    <n v="0.05"/>
    <n v="0.76"/>
    <n v="4.01"/>
    <n v="1"/>
    <n v="27.47"/>
  </r>
  <r>
    <x v="1"/>
    <x v="4"/>
    <x v="0"/>
    <x v="0"/>
    <x v="1"/>
    <n v="57"/>
    <n v="7.84"/>
    <n v="0.13"/>
    <n v="0.88"/>
    <n v="4.79"/>
    <n v="1"/>
    <n v="28.76"/>
  </r>
  <r>
    <x v="1"/>
    <x v="4"/>
    <x v="0"/>
    <x v="1"/>
    <x v="1"/>
    <n v="60"/>
    <n v="6.39"/>
    <n v="0.23"/>
    <n v="0.88"/>
    <n v="4.03"/>
    <n v="0"/>
    <n v="24.58"/>
  </r>
  <r>
    <x v="1"/>
    <x v="4"/>
    <x v="0"/>
    <x v="2"/>
    <x v="0"/>
    <n v="35"/>
    <n v="8.2899999999999991"/>
    <n v="7.0000000000000007E-2"/>
    <n v="0.67"/>
    <n v="4.34"/>
    <n v="0"/>
    <n v="27.44"/>
  </r>
  <r>
    <x v="1"/>
    <x v="4"/>
    <x v="1"/>
    <x v="0"/>
    <x v="0"/>
    <n v="36"/>
    <n v="7.11"/>
    <n v="0.09"/>
    <n v="0.81"/>
    <n v="4.21"/>
    <n v="0"/>
    <n v="25.66"/>
  </r>
  <r>
    <x v="1"/>
    <x v="4"/>
    <x v="1"/>
    <x v="1"/>
    <x v="0"/>
    <n v="64"/>
    <n v="9.14"/>
    <n v="0.1"/>
    <n v="0.82"/>
    <n v="3.99"/>
    <n v="2"/>
    <n v="32.71"/>
  </r>
  <r>
    <x v="1"/>
    <x v="4"/>
    <x v="1"/>
    <x v="2"/>
    <x v="0"/>
    <n v="35"/>
    <n v="8.51"/>
    <n v="0.14000000000000001"/>
    <n v="0.8"/>
    <n v="3.64"/>
    <n v="0"/>
    <n v="27.76"/>
  </r>
  <r>
    <x v="1"/>
    <x v="4"/>
    <x v="2"/>
    <x v="0"/>
    <x v="0"/>
    <n v="44"/>
    <n v="9.83"/>
    <n v="0.12"/>
    <n v="0.87"/>
    <n v="4.43"/>
    <n v="3"/>
    <n v="35.75"/>
  </r>
  <r>
    <x v="1"/>
    <x v="4"/>
    <x v="2"/>
    <x v="1"/>
    <x v="1"/>
    <n v="52"/>
    <n v="8.23"/>
    <n v="0.16"/>
    <n v="0.88"/>
    <n v="3.59"/>
    <n v="3"/>
    <n v="33.340000000000003"/>
  </r>
  <r>
    <x v="1"/>
    <x v="4"/>
    <x v="2"/>
    <x v="2"/>
    <x v="0"/>
    <n v="44"/>
    <n v="7.4"/>
    <n v="0.05"/>
    <n v="0.64"/>
    <n v="4.3"/>
    <n v="0"/>
    <n v="26.1"/>
  </r>
  <r>
    <x v="1"/>
    <x v="4"/>
    <x v="3"/>
    <x v="0"/>
    <x v="0"/>
    <n v="58"/>
    <n v="6.09"/>
    <n v="0.12"/>
    <n v="0.83"/>
    <n v="3.9"/>
    <n v="1"/>
    <n v="26.14"/>
  </r>
  <r>
    <x v="1"/>
    <x v="4"/>
    <x v="3"/>
    <x v="1"/>
    <x v="2"/>
    <n v="78"/>
    <n v="6.44"/>
    <n v="0.13"/>
    <n v="0.87"/>
    <n v="3.74"/>
    <n v="0"/>
    <n v="24.66"/>
  </r>
  <r>
    <x v="1"/>
    <x v="4"/>
    <x v="3"/>
    <x v="2"/>
    <x v="2"/>
    <n v="71"/>
    <n v="7.56"/>
    <n v="0.14000000000000001"/>
    <n v="0.71"/>
    <n v="3.61"/>
    <n v="2"/>
    <n v="30.34"/>
  </r>
  <r>
    <x v="1"/>
    <x v="4"/>
    <x v="4"/>
    <x v="0"/>
    <x v="0"/>
    <n v="74"/>
    <n v="7.97"/>
    <n v="0.1"/>
    <n v="0.87"/>
    <n v="4.6500000000000004"/>
    <n v="0"/>
    <n v="26.96"/>
  </r>
  <r>
    <x v="1"/>
    <x v="4"/>
    <x v="4"/>
    <x v="1"/>
    <x v="1"/>
    <n v="39"/>
    <n v="7.64"/>
    <n v="0.09"/>
    <n v="0.8"/>
    <n v="4.68"/>
    <n v="1"/>
    <n v="28.46"/>
  </r>
  <r>
    <x v="1"/>
    <x v="4"/>
    <x v="4"/>
    <x v="2"/>
    <x v="0"/>
    <n v="56"/>
    <n v="6.78"/>
    <n v="0.13"/>
    <n v="0.71"/>
    <n v="4.37"/>
    <n v="0"/>
    <n v="25.17"/>
  </r>
  <r>
    <x v="1"/>
    <x v="5"/>
    <x v="0"/>
    <x v="0"/>
    <x v="0"/>
    <n v="62"/>
    <n v="8.39"/>
    <n v="0.08"/>
    <n v="0.77"/>
    <n v="3.81"/>
    <n v="2"/>
    <n v="31.58"/>
  </r>
  <r>
    <x v="1"/>
    <x v="5"/>
    <x v="0"/>
    <x v="1"/>
    <x v="0"/>
    <n v="50"/>
    <n v="8.7200000000000006"/>
    <n v="0.09"/>
    <n v="0.78"/>
    <n v="4.01"/>
    <n v="0"/>
    <n v="28.08"/>
  </r>
  <r>
    <x v="1"/>
    <x v="5"/>
    <x v="0"/>
    <x v="2"/>
    <x v="0"/>
    <n v="31"/>
    <n v="9.1199999999999992"/>
    <n v="0.06"/>
    <n v="0.75"/>
    <n v="4.38"/>
    <n v="0"/>
    <n v="28.68"/>
  </r>
  <r>
    <x v="1"/>
    <x v="5"/>
    <x v="1"/>
    <x v="0"/>
    <x v="0"/>
    <n v="70"/>
    <n v="8.07"/>
    <n v="0.06"/>
    <n v="0.76"/>
    <n v="3.61"/>
    <n v="2"/>
    <n v="31.1"/>
  </r>
  <r>
    <x v="1"/>
    <x v="5"/>
    <x v="1"/>
    <x v="1"/>
    <x v="1"/>
    <n v="37"/>
    <n v="9.1300000000000008"/>
    <n v="0.14000000000000001"/>
    <n v="0.8"/>
    <n v="4.3"/>
    <n v="0"/>
    <n v="28.7"/>
  </r>
  <r>
    <x v="1"/>
    <x v="5"/>
    <x v="1"/>
    <x v="2"/>
    <x v="2"/>
    <n v="34"/>
    <n v="7.7"/>
    <n v="0.06"/>
    <n v="0.75"/>
    <n v="4.38"/>
    <n v="0"/>
    <n v="26.55"/>
  </r>
  <r>
    <x v="1"/>
    <x v="5"/>
    <x v="2"/>
    <x v="0"/>
    <x v="0"/>
    <n v="51"/>
    <n v="6.9"/>
    <n v="0.11"/>
    <n v="0.9"/>
    <n v="4.3600000000000003"/>
    <n v="0"/>
    <n v="25.35"/>
  </r>
  <r>
    <x v="1"/>
    <x v="5"/>
    <x v="2"/>
    <x v="1"/>
    <x v="2"/>
    <n v="59"/>
    <n v="8.3699999999999992"/>
    <n v="0.03"/>
    <n v="0.89"/>
    <n v="4.33"/>
    <n v="1"/>
    <n v="29.56"/>
  </r>
  <r>
    <x v="1"/>
    <x v="5"/>
    <x v="2"/>
    <x v="2"/>
    <x v="1"/>
    <n v="71"/>
    <n v="5.7"/>
    <n v="7.0000000000000007E-2"/>
    <n v="0.71"/>
    <n v="4.4800000000000004"/>
    <n v="0"/>
    <n v="23.55"/>
  </r>
  <r>
    <x v="1"/>
    <x v="5"/>
    <x v="3"/>
    <x v="0"/>
    <x v="0"/>
    <n v="49"/>
    <n v="5.16"/>
    <n v="0.04"/>
    <n v="0.9"/>
    <n v="3.53"/>
    <n v="1"/>
    <n v="24.74"/>
  </r>
  <r>
    <x v="1"/>
    <x v="5"/>
    <x v="3"/>
    <x v="1"/>
    <x v="2"/>
    <n v="30"/>
    <n v="7"/>
    <n v="0.13"/>
    <n v="0.83"/>
    <n v="4.3099999999999996"/>
    <n v="0"/>
    <n v="25.5"/>
  </r>
  <r>
    <x v="1"/>
    <x v="5"/>
    <x v="3"/>
    <x v="2"/>
    <x v="2"/>
    <n v="62"/>
    <n v="7.66"/>
    <n v="0.04"/>
    <n v="0.62"/>
    <n v="3.65"/>
    <n v="0"/>
    <n v="26.49"/>
  </r>
  <r>
    <x v="1"/>
    <x v="5"/>
    <x v="4"/>
    <x v="0"/>
    <x v="0"/>
    <n v="70"/>
    <n v="9.9700000000000006"/>
    <n v="0.03"/>
    <n v="0.89"/>
    <n v="4.22"/>
    <n v="0"/>
    <n v="29.96"/>
  </r>
  <r>
    <x v="1"/>
    <x v="5"/>
    <x v="4"/>
    <x v="1"/>
    <x v="0"/>
    <n v="52"/>
    <n v="7.95"/>
    <n v="0.09"/>
    <n v="0.83"/>
    <n v="4.01"/>
    <n v="0"/>
    <n v="26.92"/>
  </r>
  <r>
    <x v="1"/>
    <x v="5"/>
    <x v="4"/>
    <x v="2"/>
    <x v="0"/>
    <n v="67"/>
    <n v="6.97"/>
    <n v="0.13"/>
    <n v="0.7"/>
    <n v="4.6399999999999997"/>
    <n v="2"/>
    <n v="29.46"/>
  </r>
  <r>
    <x v="1"/>
    <x v="6"/>
    <x v="0"/>
    <x v="0"/>
    <x v="2"/>
    <n v="45"/>
    <n v="8.08"/>
    <n v="0.06"/>
    <n v="0.75"/>
    <n v="3.7"/>
    <n v="0"/>
    <n v="27.12"/>
  </r>
  <r>
    <x v="1"/>
    <x v="6"/>
    <x v="0"/>
    <x v="1"/>
    <x v="2"/>
    <n v="47"/>
    <n v="6.98"/>
    <n v="0.1"/>
    <n v="0.87"/>
    <n v="3.67"/>
    <n v="2"/>
    <n v="29.47"/>
  </r>
  <r>
    <x v="1"/>
    <x v="6"/>
    <x v="0"/>
    <x v="2"/>
    <x v="2"/>
    <n v="43"/>
    <n v="6.98"/>
    <n v="0.14000000000000001"/>
    <n v="0.81"/>
    <n v="4.37"/>
    <n v="0"/>
    <n v="25.47"/>
  </r>
  <r>
    <x v="1"/>
    <x v="6"/>
    <x v="1"/>
    <x v="0"/>
    <x v="0"/>
    <n v="33"/>
    <n v="8.43"/>
    <n v="0.04"/>
    <n v="0.89"/>
    <n v="4.21"/>
    <n v="3"/>
    <n v="33.64"/>
  </r>
  <r>
    <x v="1"/>
    <x v="6"/>
    <x v="1"/>
    <x v="1"/>
    <x v="0"/>
    <n v="42"/>
    <n v="8.23"/>
    <n v="0.02"/>
    <n v="0.75"/>
    <n v="4.28"/>
    <n v="0"/>
    <n v="27.34"/>
  </r>
  <r>
    <x v="1"/>
    <x v="6"/>
    <x v="1"/>
    <x v="2"/>
    <x v="0"/>
    <n v="34"/>
    <n v="7.04"/>
    <n v="0.12"/>
    <n v="0.71"/>
    <n v="3.58"/>
    <n v="3"/>
    <n v="31.56"/>
  </r>
  <r>
    <x v="1"/>
    <x v="6"/>
    <x v="2"/>
    <x v="0"/>
    <x v="1"/>
    <n v="44"/>
    <n v="6.89"/>
    <n v="0.22"/>
    <n v="0.76"/>
    <n v="4.16"/>
    <n v="3"/>
    <n v="31.34"/>
  </r>
  <r>
    <x v="1"/>
    <x v="6"/>
    <x v="2"/>
    <x v="1"/>
    <x v="2"/>
    <n v="68"/>
    <n v="7.2"/>
    <n v="0.05"/>
    <n v="0.78"/>
    <n v="4.3499999999999996"/>
    <n v="2"/>
    <n v="29.8"/>
  </r>
  <r>
    <x v="1"/>
    <x v="6"/>
    <x v="2"/>
    <x v="2"/>
    <x v="2"/>
    <n v="66"/>
    <n v="7.37"/>
    <n v="0.05"/>
    <n v="0.69"/>
    <n v="4.04"/>
    <n v="2"/>
    <n v="30.06"/>
  </r>
  <r>
    <x v="1"/>
    <x v="6"/>
    <x v="3"/>
    <x v="0"/>
    <x v="2"/>
    <n v="51"/>
    <n v="8.49"/>
    <n v="0.15"/>
    <n v="0.79"/>
    <n v="3.67"/>
    <n v="0"/>
    <n v="27.74"/>
  </r>
  <r>
    <x v="1"/>
    <x v="6"/>
    <x v="3"/>
    <x v="1"/>
    <x v="2"/>
    <n v="50"/>
    <n v="6.95"/>
    <n v="0.09"/>
    <n v="0.78"/>
    <n v="3.52"/>
    <n v="0"/>
    <n v="25.42"/>
  </r>
  <r>
    <x v="1"/>
    <x v="6"/>
    <x v="3"/>
    <x v="2"/>
    <x v="2"/>
    <n v="47"/>
    <n v="7.89"/>
    <n v="0.03"/>
    <n v="0.61"/>
    <n v="3.98"/>
    <n v="0"/>
    <n v="26.84"/>
  </r>
  <r>
    <x v="1"/>
    <x v="6"/>
    <x v="4"/>
    <x v="0"/>
    <x v="0"/>
    <n v="50"/>
    <n v="6.31"/>
    <n v="0.06"/>
    <n v="0.86"/>
    <n v="4.12"/>
    <n v="0"/>
    <n v="24.46"/>
  </r>
  <r>
    <x v="1"/>
    <x v="6"/>
    <x v="4"/>
    <x v="1"/>
    <x v="0"/>
    <n v="67"/>
    <n v="7.46"/>
    <n v="7.0000000000000007E-2"/>
    <n v="0.89"/>
    <n v="3.67"/>
    <n v="0"/>
    <n v="26.19"/>
  </r>
  <r>
    <x v="1"/>
    <x v="6"/>
    <x v="4"/>
    <x v="2"/>
    <x v="0"/>
    <n v="70"/>
    <n v="6.89"/>
    <n v="0.05"/>
    <n v="0.81"/>
    <n v="3.55"/>
    <n v="2"/>
    <n v="29.34"/>
  </r>
  <r>
    <x v="1"/>
    <x v="7"/>
    <x v="0"/>
    <x v="0"/>
    <x v="0"/>
    <n v="40"/>
    <n v="9.33"/>
    <n v="0.08"/>
    <n v="0.81"/>
    <n v="4.09"/>
    <n v="0"/>
    <n v="29"/>
  </r>
  <r>
    <x v="1"/>
    <x v="7"/>
    <x v="0"/>
    <x v="1"/>
    <x v="2"/>
    <n v="52"/>
    <n v="6.31"/>
    <n v="0.12"/>
    <n v="0.83"/>
    <n v="4.38"/>
    <n v="0"/>
    <n v="24.46"/>
  </r>
  <r>
    <x v="1"/>
    <x v="7"/>
    <x v="0"/>
    <x v="2"/>
    <x v="1"/>
    <n v="72"/>
    <n v="7.56"/>
    <n v="0.21"/>
    <n v="0.8"/>
    <n v="3.64"/>
    <n v="0"/>
    <n v="26.34"/>
  </r>
  <r>
    <x v="1"/>
    <x v="7"/>
    <x v="1"/>
    <x v="0"/>
    <x v="0"/>
    <n v="69"/>
    <n v="6.15"/>
    <n v="7.0000000000000007E-2"/>
    <n v="0.87"/>
    <n v="4.3600000000000003"/>
    <n v="0"/>
    <n v="24.22"/>
  </r>
  <r>
    <x v="1"/>
    <x v="7"/>
    <x v="1"/>
    <x v="1"/>
    <x v="1"/>
    <n v="34"/>
    <n v="6.53"/>
    <n v="0.19"/>
    <n v="0.87"/>
    <n v="3.59"/>
    <n v="0"/>
    <n v="24.8"/>
  </r>
  <r>
    <x v="1"/>
    <x v="7"/>
    <x v="1"/>
    <x v="2"/>
    <x v="1"/>
    <n v="77"/>
    <n v="8.11"/>
    <n v="0.15"/>
    <n v="0.65"/>
    <n v="3.66"/>
    <n v="1"/>
    <n v="29.16"/>
  </r>
  <r>
    <x v="1"/>
    <x v="7"/>
    <x v="2"/>
    <x v="0"/>
    <x v="2"/>
    <n v="70"/>
    <n v="8.81"/>
    <n v="0.14000000000000001"/>
    <n v="0.82"/>
    <n v="4.66"/>
    <n v="0"/>
    <n v="28.22"/>
  </r>
  <r>
    <x v="1"/>
    <x v="7"/>
    <x v="2"/>
    <x v="1"/>
    <x v="1"/>
    <n v="56"/>
    <n v="7.56"/>
    <n v="0.2"/>
    <n v="0.86"/>
    <n v="4.5599999999999996"/>
    <n v="1"/>
    <n v="28.34"/>
  </r>
  <r>
    <x v="1"/>
    <x v="7"/>
    <x v="2"/>
    <x v="2"/>
    <x v="1"/>
    <n v="44"/>
    <n v="7.77"/>
    <n v="0.08"/>
    <n v="0.75"/>
    <n v="3.62"/>
    <n v="0"/>
    <n v="26.66"/>
  </r>
  <r>
    <x v="1"/>
    <x v="7"/>
    <x v="3"/>
    <x v="0"/>
    <x v="0"/>
    <n v="54"/>
    <n v="6.99"/>
    <n v="0.14000000000000001"/>
    <n v="0.85"/>
    <n v="4.1399999999999997"/>
    <n v="0"/>
    <n v="25.48"/>
  </r>
  <r>
    <x v="1"/>
    <x v="7"/>
    <x v="3"/>
    <x v="1"/>
    <x v="2"/>
    <n v="61"/>
    <n v="6.74"/>
    <n v="0.06"/>
    <n v="0.88"/>
    <n v="3.84"/>
    <n v="0"/>
    <n v="25.11"/>
  </r>
  <r>
    <x v="1"/>
    <x v="7"/>
    <x v="3"/>
    <x v="2"/>
    <x v="0"/>
    <n v="50"/>
    <n v="6.21"/>
    <n v="0.03"/>
    <n v="0.68"/>
    <n v="4.4800000000000004"/>
    <n v="0"/>
    <n v="24.32"/>
  </r>
  <r>
    <x v="1"/>
    <x v="7"/>
    <x v="4"/>
    <x v="0"/>
    <x v="0"/>
    <n v="42"/>
    <n v="7.73"/>
    <n v="0.04"/>
    <n v="0.77"/>
    <n v="4.4400000000000004"/>
    <n v="2"/>
    <n v="30.6"/>
  </r>
  <r>
    <x v="1"/>
    <x v="7"/>
    <x v="4"/>
    <x v="1"/>
    <x v="1"/>
    <n v="52"/>
    <n v="7.99"/>
    <n v="0.19"/>
    <n v="0.84"/>
    <n v="4.16"/>
    <n v="0"/>
    <n v="26.98"/>
  </r>
  <r>
    <x v="1"/>
    <x v="7"/>
    <x v="4"/>
    <x v="2"/>
    <x v="0"/>
    <n v="58"/>
    <n v="8.2200000000000006"/>
    <n v="0.03"/>
    <n v="0.74"/>
    <n v="4.6399999999999997"/>
    <n v="0"/>
    <n v="27.33"/>
  </r>
  <r>
    <x v="1"/>
    <x v="8"/>
    <x v="0"/>
    <x v="0"/>
    <x v="1"/>
    <n v="45"/>
    <n v="8.1"/>
    <n v="0.27"/>
    <n v="0.79"/>
    <n v="3.75"/>
    <n v="2"/>
    <n v="31.15"/>
  </r>
  <r>
    <x v="1"/>
    <x v="8"/>
    <x v="0"/>
    <x v="1"/>
    <x v="0"/>
    <n v="54"/>
    <n v="8.27"/>
    <n v="0.09"/>
    <n v="0.86"/>
    <n v="4.3"/>
    <n v="0"/>
    <n v="27.4"/>
  </r>
  <r>
    <x v="1"/>
    <x v="8"/>
    <x v="0"/>
    <x v="2"/>
    <x v="0"/>
    <n v="42"/>
    <n v="9.14"/>
    <n v="0.13"/>
    <n v="0.81"/>
    <n v="4.58"/>
    <n v="0"/>
    <n v="28.71"/>
  </r>
  <r>
    <x v="1"/>
    <x v="8"/>
    <x v="1"/>
    <x v="0"/>
    <x v="2"/>
    <n v="49"/>
    <n v="10.130000000000001"/>
    <n v="0.06"/>
    <n v="0.77"/>
    <n v="3.9"/>
    <n v="2"/>
    <n v="34.200000000000003"/>
  </r>
  <r>
    <x v="1"/>
    <x v="8"/>
    <x v="1"/>
    <x v="1"/>
    <x v="2"/>
    <n v="33"/>
    <n v="9.06"/>
    <n v="0.12"/>
    <n v="0.78"/>
    <n v="3.68"/>
    <n v="1"/>
    <n v="30.59"/>
  </r>
  <r>
    <x v="1"/>
    <x v="8"/>
    <x v="1"/>
    <x v="2"/>
    <x v="1"/>
    <n v="68"/>
    <n v="6.25"/>
    <n v="0.05"/>
    <n v="0.75"/>
    <n v="3.96"/>
    <n v="1"/>
    <n v="26.38"/>
  </r>
  <r>
    <x v="1"/>
    <x v="8"/>
    <x v="2"/>
    <x v="0"/>
    <x v="1"/>
    <n v="36"/>
    <n v="9.7100000000000009"/>
    <n v="7.0000000000000007E-2"/>
    <n v="0.84"/>
    <n v="4.2300000000000004"/>
    <n v="0"/>
    <n v="29.56"/>
  </r>
  <r>
    <x v="1"/>
    <x v="8"/>
    <x v="2"/>
    <x v="1"/>
    <x v="0"/>
    <n v="63"/>
    <n v="7.2"/>
    <n v="0.1"/>
    <n v="0.84"/>
    <n v="3.53"/>
    <n v="0"/>
    <n v="25.8"/>
  </r>
  <r>
    <x v="1"/>
    <x v="8"/>
    <x v="2"/>
    <x v="2"/>
    <x v="0"/>
    <n v="48"/>
    <n v="7.33"/>
    <n v="0.12"/>
    <n v="0.78"/>
    <n v="4.53"/>
    <n v="0"/>
    <n v="26"/>
  </r>
  <r>
    <x v="1"/>
    <x v="8"/>
    <x v="3"/>
    <x v="0"/>
    <x v="0"/>
    <n v="65"/>
    <n v="7.05"/>
    <n v="0.04"/>
    <n v="0.86"/>
    <n v="3.81"/>
    <n v="0"/>
    <n v="25.58"/>
  </r>
  <r>
    <x v="1"/>
    <x v="8"/>
    <x v="3"/>
    <x v="1"/>
    <x v="1"/>
    <n v="57"/>
    <n v="7.69"/>
    <n v="0.16"/>
    <n v="0.85"/>
    <n v="4.5199999999999996"/>
    <n v="0"/>
    <n v="26.54"/>
  </r>
  <r>
    <x v="1"/>
    <x v="8"/>
    <x v="3"/>
    <x v="2"/>
    <x v="0"/>
    <n v="43"/>
    <n v="8.08"/>
    <n v="0.12"/>
    <n v="0.78"/>
    <n v="4.74"/>
    <n v="0"/>
    <n v="27.12"/>
  </r>
  <r>
    <x v="1"/>
    <x v="8"/>
    <x v="4"/>
    <x v="0"/>
    <x v="0"/>
    <n v="39"/>
    <n v="7.64"/>
    <n v="0.06"/>
    <n v="0.89"/>
    <n v="3.84"/>
    <n v="0"/>
    <n v="26.46"/>
  </r>
  <r>
    <x v="1"/>
    <x v="8"/>
    <x v="4"/>
    <x v="1"/>
    <x v="2"/>
    <n v="58"/>
    <n v="5.73"/>
    <n v="0.08"/>
    <n v="0.82"/>
    <n v="4.07"/>
    <n v="2"/>
    <n v="27.6"/>
  </r>
  <r>
    <x v="1"/>
    <x v="8"/>
    <x v="4"/>
    <x v="2"/>
    <x v="2"/>
    <n v="55"/>
    <n v="7.71"/>
    <n v="0.08"/>
    <n v="0.71"/>
    <n v="4.45"/>
    <n v="1"/>
    <n v="28.56"/>
  </r>
  <r>
    <x v="1"/>
    <x v="9"/>
    <x v="0"/>
    <x v="0"/>
    <x v="1"/>
    <n v="73"/>
    <n v="7.12"/>
    <n v="0.08"/>
    <n v="0.86"/>
    <n v="4.3499999999999996"/>
    <n v="3"/>
    <n v="31.68"/>
  </r>
  <r>
    <x v="1"/>
    <x v="9"/>
    <x v="0"/>
    <x v="1"/>
    <x v="1"/>
    <n v="73"/>
    <n v="6.55"/>
    <n v="0.25"/>
    <n v="0.9"/>
    <n v="3.98"/>
    <n v="0"/>
    <n v="24.82"/>
  </r>
  <r>
    <x v="1"/>
    <x v="9"/>
    <x v="0"/>
    <x v="2"/>
    <x v="2"/>
    <n v="35"/>
    <n v="6.55"/>
    <n v="0.03"/>
    <n v="0.72"/>
    <n v="3.54"/>
    <n v="0"/>
    <n v="24.82"/>
  </r>
  <r>
    <x v="1"/>
    <x v="9"/>
    <x v="1"/>
    <x v="0"/>
    <x v="2"/>
    <n v="50"/>
    <n v="5.08"/>
    <n v="7.0000000000000007E-2"/>
    <n v="0.88"/>
    <n v="3.53"/>
    <n v="1"/>
    <n v="24.62"/>
  </r>
  <r>
    <x v="1"/>
    <x v="9"/>
    <x v="1"/>
    <x v="1"/>
    <x v="2"/>
    <n v="44"/>
    <n v="8.3800000000000008"/>
    <n v="0.13"/>
    <n v="0.81"/>
    <n v="4.58"/>
    <n v="1"/>
    <n v="29.57"/>
  </r>
  <r>
    <x v="1"/>
    <x v="9"/>
    <x v="1"/>
    <x v="2"/>
    <x v="0"/>
    <n v="66"/>
    <n v="6.39"/>
    <n v="0.09"/>
    <n v="0.72"/>
    <n v="4.76"/>
    <n v="1"/>
    <n v="26.58"/>
  </r>
  <r>
    <x v="1"/>
    <x v="9"/>
    <x v="2"/>
    <x v="0"/>
    <x v="0"/>
    <n v="70"/>
    <n v="8.07"/>
    <n v="0.02"/>
    <n v="0.86"/>
    <n v="4.04"/>
    <n v="0"/>
    <n v="27.1"/>
  </r>
  <r>
    <x v="1"/>
    <x v="9"/>
    <x v="2"/>
    <x v="1"/>
    <x v="0"/>
    <n v="62"/>
    <n v="6.48"/>
    <n v="0.13"/>
    <n v="0.86"/>
    <n v="3.59"/>
    <n v="1"/>
    <n v="26.72"/>
  </r>
  <r>
    <x v="1"/>
    <x v="9"/>
    <x v="2"/>
    <x v="2"/>
    <x v="0"/>
    <n v="35"/>
    <n v="7.56"/>
    <n v="0.05"/>
    <n v="0.81"/>
    <n v="4.0599999999999996"/>
    <n v="0"/>
    <n v="26.34"/>
  </r>
  <r>
    <x v="1"/>
    <x v="9"/>
    <x v="3"/>
    <x v="0"/>
    <x v="0"/>
    <n v="31"/>
    <n v="9.1300000000000008"/>
    <n v="0.06"/>
    <n v="0.87"/>
    <n v="3.65"/>
    <n v="0"/>
    <n v="28.7"/>
  </r>
  <r>
    <x v="1"/>
    <x v="9"/>
    <x v="3"/>
    <x v="1"/>
    <x v="2"/>
    <n v="78"/>
    <n v="7.24"/>
    <n v="0.05"/>
    <n v="0.79"/>
    <n v="3.71"/>
    <n v="0"/>
    <n v="25.86"/>
  </r>
  <r>
    <x v="1"/>
    <x v="9"/>
    <x v="3"/>
    <x v="2"/>
    <x v="2"/>
    <n v="51"/>
    <n v="6.53"/>
    <n v="0.05"/>
    <n v="0.84"/>
    <n v="4.2300000000000004"/>
    <n v="1"/>
    <n v="26.8"/>
  </r>
  <r>
    <x v="1"/>
    <x v="9"/>
    <x v="4"/>
    <x v="0"/>
    <x v="0"/>
    <n v="31"/>
    <n v="7.96"/>
    <n v="0.03"/>
    <n v="0.82"/>
    <n v="4.68"/>
    <n v="0"/>
    <n v="26.94"/>
  </r>
  <r>
    <x v="1"/>
    <x v="9"/>
    <x v="4"/>
    <x v="1"/>
    <x v="0"/>
    <n v="35"/>
    <n v="6.7"/>
    <n v="7.0000000000000007E-2"/>
    <n v="0.76"/>
    <n v="4.07"/>
    <n v="0"/>
    <n v="25.05"/>
  </r>
  <r>
    <x v="1"/>
    <x v="9"/>
    <x v="4"/>
    <x v="2"/>
    <x v="1"/>
    <n v="37"/>
    <n v="5.37"/>
    <n v="0.12"/>
    <n v="0.8"/>
    <n v="4.25"/>
    <n v="1"/>
    <n v="25.06"/>
  </r>
  <r>
    <x v="2"/>
    <x v="0"/>
    <x v="0"/>
    <x v="0"/>
    <x v="2"/>
    <n v="76"/>
    <n v="3.24"/>
    <n v="0.09"/>
    <n v="0.77"/>
    <n v="4.3"/>
    <n v="0"/>
    <n v="19.86"/>
  </r>
  <r>
    <x v="2"/>
    <x v="0"/>
    <x v="0"/>
    <x v="1"/>
    <x v="2"/>
    <n v="72"/>
    <n v="7.06"/>
    <n v="0.15"/>
    <n v="0.77"/>
    <n v="3.76"/>
    <n v="0"/>
    <n v="25.59"/>
  </r>
  <r>
    <x v="2"/>
    <x v="0"/>
    <x v="0"/>
    <x v="2"/>
    <x v="2"/>
    <n v="77"/>
    <n v="5.8"/>
    <n v="0.1"/>
    <n v="0.62"/>
    <n v="4.6500000000000004"/>
    <n v="2"/>
    <n v="27.7"/>
  </r>
  <r>
    <x v="2"/>
    <x v="0"/>
    <x v="1"/>
    <x v="0"/>
    <x v="0"/>
    <n v="45"/>
    <n v="4.84"/>
    <n v="0.15"/>
    <n v="0.82"/>
    <n v="3.66"/>
    <n v="1"/>
    <n v="24.26"/>
  </r>
  <r>
    <x v="2"/>
    <x v="0"/>
    <x v="1"/>
    <x v="1"/>
    <x v="0"/>
    <n v="57"/>
    <n v="5.81"/>
    <n v="0.04"/>
    <n v="0.75"/>
    <n v="4.2300000000000004"/>
    <n v="0"/>
    <n v="23.72"/>
  </r>
  <r>
    <x v="2"/>
    <x v="0"/>
    <x v="1"/>
    <x v="2"/>
    <x v="2"/>
    <n v="63"/>
    <n v="6.99"/>
    <n v="0.05"/>
    <n v="0.69"/>
    <n v="4.7699999999999996"/>
    <n v="0"/>
    <n v="25.48"/>
  </r>
  <r>
    <x v="2"/>
    <x v="0"/>
    <x v="2"/>
    <x v="0"/>
    <x v="1"/>
    <n v="67"/>
    <n v="7.81"/>
    <n v="0.13"/>
    <n v="0.82"/>
    <n v="4.57"/>
    <n v="0"/>
    <n v="26.72"/>
  </r>
  <r>
    <x v="2"/>
    <x v="0"/>
    <x v="2"/>
    <x v="1"/>
    <x v="0"/>
    <n v="63"/>
    <n v="6.35"/>
    <n v="0.13"/>
    <n v="0.88"/>
    <n v="4.18"/>
    <n v="0"/>
    <n v="24.52"/>
  </r>
  <r>
    <x v="2"/>
    <x v="0"/>
    <x v="2"/>
    <x v="2"/>
    <x v="1"/>
    <n v="55"/>
    <n v="5.76"/>
    <n v="0.09"/>
    <n v="0.69"/>
    <n v="4.09"/>
    <n v="1"/>
    <n v="25.64"/>
  </r>
  <r>
    <x v="2"/>
    <x v="0"/>
    <x v="3"/>
    <x v="0"/>
    <x v="0"/>
    <n v="77"/>
    <n v="5.63"/>
    <n v="0.1"/>
    <n v="0.86"/>
    <n v="4.55"/>
    <n v="2"/>
    <n v="27.44"/>
  </r>
  <r>
    <x v="2"/>
    <x v="0"/>
    <x v="3"/>
    <x v="1"/>
    <x v="1"/>
    <n v="62"/>
    <n v="6.37"/>
    <n v="0.13"/>
    <n v="0.85"/>
    <n v="3.59"/>
    <n v="0"/>
    <n v="24.56"/>
  </r>
  <r>
    <x v="2"/>
    <x v="0"/>
    <x v="3"/>
    <x v="2"/>
    <x v="2"/>
    <n v="30"/>
    <n v="5.21"/>
    <n v="0.13"/>
    <n v="0.67"/>
    <n v="4.34"/>
    <n v="1"/>
    <n v="24.82"/>
  </r>
  <r>
    <x v="2"/>
    <x v="0"/>
    <x v="4"/>
    <x v="0"/>
    <x v="0"/>
    <n v="67"/>
    <n v="5.41"/>
    <n v="0.12"/>
    <n v="0.81"/>
    <n v="4.49"/>
    <n v="2"/>
    <n v="27.12"/>
  </r>
  <r>
    <x v="2"/>
    <x v="0"/>
    <x v="4"/>
    <x v="1"/>
    <x v="1"/>
    <n v="38"/>
    <n v="5.81"/>
    <n v="0.25"/>
    <n v="0.85"/>
    <n v="3.84"/>
    <n v="2"/>
    <n v="27.72"/>
  </r>
  <r>
    <x v="2"/>
    <x v="0"/>
    <x v="4"/>
    <x v="2"/>
    <x v="0"/>
    <n v="52"/>
    <n v="5.62"/>
    <n v="7.0000000000000007E-2"/>
    <n v="0.66"/>
    <n v="4"/>
    <n v="0"/>
    <n v="23.43"/>
  </r>
  <r>
    <x v="2"/>
    <x v="1"/>
    <x v="0"/>
    <x v="0"/>
    <x v="0"/>
    <n v="43"/>
    <n v="4.8600000000000003"/>
    <n v="0.08"/>
    <n v="0.75"/>
    <n v="4.05"/>
    <n v="0"/>
    <n v="22.29"/>
  </r>
  <r>
    <x v="2"/>
    <x v="1"/>
    <x v="0"/>
    <x v="1"/>
    <x v="2"/>
    <n v="51"/>
    <n v="5.56"/>
    <n v="0.14000000000000001"/>
    <n v="0.86"/>
    <n v="4.55"/>
    <n v="0"/>
    <n v="23.34"/>
  </r>
  <r>
    <x v="2"/>
    <x v="1"/>
    <x v="0"/>
    <x v="2"/>
    <x v="2"/>
    <n v="38"/>
    <n v="6.75"/>
    <n v="0.06"/>
    <n v="0.81"/>
    <n v="3.87"/>
    <n v="2"/>
    <n v="29.12"/>
  </r>
  <r>
    <x v="2"/>
    <x v="1"/>
    <x v="1"/>
    <x v="0"/>
    <x v="1"/>
    <n v="67"/>
    <n v="4.3"/>
    <n v="0.26"/>
    <n v="0.76"/>
    <n v="3.79"/>
    <n v="1"/>
    <n v="23.45"/>
  </r>
  <r>
    <x v="2"/>
    <x v="1"/>
    <x v="1"/>
    <x v="1"/>
    <x v="0"/>
    <n v="33"/>
    <n v="6.53"/>
    <n v="0.13"/>
    <n v="0.88"/>
    <n v="3.93"/>
    <n v="0"/>
    <n v="24.8"/>
  </r>
  <r>
    <x v="2"/>
    <x v="1"/>
    <x v="1"/>
    <x v="2"/>
    <x v="2"/>
    <n v="45"/>
    <n v="6.73"/>
    <n v="0.02"/>
    <n v="0.75"/>
    <n v="4.79"/>
    <n v="2"/>
    <n v="29.1"/>
  </r>
  <r>
    <x v="2"/>
    <x v="1"/>
    <x v="2"/>
    <x v="0"/>
    <x v="0"/>
    <n v="34"/>
    <n v="5.35"/>
    <n v="0.05"/>
    <n v="0.78"/>
    <n v="4.13"/>
    <n v="1"/>
    <n v="25.02"/>
  </r>
  <r>
    <x v="2"/>
    <x v="1"/>
    <x v="2"/>
    <x v="1"/>
    <x v="0"/>
    <n v="38"/>
    <n v="6.98"/>
    <n v="0.13"/>
    <n v="0.84"/>
    <n v="4.17"/>
    <n v="0"/>
    <n v="25.47"/>
  </r>
  <r>
    <x v="2"/>
    <x v="1"/>
    <x v="2"/>
    <x v="2"/>
    <x v="0"/>
    <n v="41"/>
    <n v="6.5"/>
    <n v="0.08"/>
    <n v="0.63"/>
    <n v="3.94"/>
    <n v="0"/>
    <n v="24.75"/>
  </r>
  <r>
    <x v="2"/>
    <x v="1"/>
    <x v="3"/>
    <x v="0"/>
    <x v="1"/>
    <n v="50"/>
    <n v="7.22"/>
    <n v="0.23"/>
    <n v="0.79"/>
    <n v="4.17"/>
    <n v="0"/>
    <n v="25.83"/>
  </r>
  <r>
    <x v="2"/>
    <x v="1"/>
    <x v="3"/>
    <x v="1"/>
    <x v="0"/>
    <n v="74"/>
    <n v="7.75"/>
    <n v="0.15"/>
    <n v="0.79"/>
    <n v="3.85"/>
    <n v="0"/>
    <n v="26.62"/>
  </r>
  <r>
    <x v="2"/>
    <x v="1"/>
    <x v="3"/>
    <x v="2"/>
    <x v="2"/>
    <n v="37"/>
    <n v="5.38"/>
    <n v="0.05"/>
    <n v="0.69"/>
    <n v="4.1100000000000003"/>
    <n v="0"/>
    <n v="23.07"/>
  </r>
  <r>
    <x v="2"/>
    <x v="1"/>
    <x v="4"/>
    <x v="0"/>
    <x v="1"/>
    <n v="71"/>
    <n v="6.19"/>
    <n v="0.28999999999999998"/>
    <n v="0.8"/>
    <n v="4.13"/>
    <n v="0"/>
    <n v="24.28"/>
  </r>
  <r>
    <x v="2"/>
    <x v="1"/>
    <x v="4"/>
    <x v="1"/>
    <x v="0"/>
    <n v="74"/>
    <n v="8.48"/>
    <n v="0.09"/>
    <n v="0.88"/>
    <n v="3.56"/>
    <n v="2"/>
    <n v="31.72"/>
  </r>
  <r>
    <x v="2"/>
    <x v="1"/>
    <x v="4"/>
    <x v="2"/>
    <x v="2"/>
    <n v="62"/>
    <n v="5.3"/>
    <n v="0.06"/>
    <n v="0.8"/>
    <n v="4.24"/>
    <n v="0"/>
    <n v="22.95"/>
  </r>
  <r>
    <x v="2"/>
    <x v="2"/>
    <x v="0"/>
    <x v="0"/>
    <x v="1"/>
    <n v="70"/>
    <n v="5.22"/>
    <n v="0.2"/>
    <n v="0.77"/>
    <n v="3.95"/>
    <n v="0"/>
    <n v="22.83"/>
  </r>
  <r>
    <x v="2"/>
    <x v="2"/>
    <x v="0"/>
    <x v="1"/>
    <x v="2"/>
    <n v="42"/>
    <n v="5.81"/>
    <n v="0.11"/>
    <n v="0.76"/>
    <n v="4.09"/>
    <n v="2"/>
    <n v="27.72"/>
  </r>
  <r>
    <x v="2"/>
    <x v="2"/>
    <x v="0"/>
    <x v="2"/>
    <x v="1"/>
    <n v="69"/>
    <n v="4.2"/>
    <n v="0.28000000000000003"/>
    <n v="0.78"/>
    <n v="4.29"/>
    <n v="0"/>
    <n v="21.3"/>
  </r>
  <r>
    <x v="2"/>
    <x v="2"/>
    <x v="1"/>
    <x v="0"/>
    <x v="2"/>
    <n v="68"/>
    <n v="4.42"/>
    <n v="0.14000000000000001"/>
    <n v="0.86"/>
    <n v="4.62"/>
    <n v="0"/>
    <n v="21.63"/>
  </r>
  <r>
    <x v="2"/>
    <x v="2"/>
    <x v="1"/>
    <x v="1"/>
    <x v="2"/>
    <n v="76"/>
    <n v="6.14"/>
    <n v="0.11"/>
    <n v="0.77"/>
    <n v="4"/>
    <n v="0"/>
    <n v="24.21"/>
  </r>
  <r>
    <x v="2"/>
    <x v="2"/>
    <x v="1"/>
    <x v="2"/>
    <x v="0"/>
    <n v="48"/>
    <n v="5.39"/>
    <n v="0.1"/>
    <n v="0.74"/>
    <n v="4.67"/>
    <n v="0"/>
    <n v="23.08"/>
  </r>
  <r>
    <x v="2"/>
    <x v="2"/>
    <x v="2"/>
    <x v="0"/>
    <x v="0"/>
    <n v="70"/>
    <n v="6.17"/>
    <n v="0.11"/>
    <n v="0.8"/>
    <n v="4.2699999999999996"/>
    <n v="0"/>
    <n v="24.26"/>
  </r>
  <r>
    <x v="2"/>
    <x v="2"/>
    <x v="2"/>
    <x v="1"/>
    <x v="0"/>
    <n v="38"/>
    <n v="6.44"/>
    <n v="0.1"/>
    <n v="0.88"/>
    <n v="4.4400000000000004"/>
    <n v="0"/>
    <n v="24.66"/>
  </r>
  <r>
    <x v="2"/>
    <x v="2"/>
    <x v="2"/>
    <x v="2"/>
    <x v="2"/>
    <n v="67"/>
    <n v="6.56"/>
    <n v="0.09"/>
    <n v="0.71"/>
    <n v="3.61"/>
    <n v="0"/>
    <n v="24.84"/>
  </r>
  <r>
    <x v="2"/>
    <x v="2"/>
    <x v="3"/>
    <x v="0"/>
    <x v="2"/>
    <n v="78"/>
    <n v="6.92"/>
    <n v="0.05"/>
    <n v="0.82"/>
    <n v="4.5599999999999996"/>
    <n v="0"/>
    <n v="25.38"/>
  </r>
  <r>
    <x v="2"/>
    <x v="2"/>
    <x v="3"/>
    <x v="1"/>
    <x v="0"/>
    <n v="72"/>
    <n v="7.84"/>
    <n v="0.06"/>
    <n v="0.8"/>
    <n v="4.53"/>
    <n v="0"/>
    <n v="26.76"/>
  </r>
  <r>
    <x v="2"/>
    <x v="2"/>
    <x v="3"/>
    <x v="2"/>
    <x v="2"/>
    <n v="32"/>
    <n v="5.25"/>
    <n v="0.08"/>
    <n v="0.74"/>
    <n v="4.49"/>
    <n v="0"/>
    <n v="22.88"/>
  </r>
  <r>
    <x v="2"/>
    <x v="2"/>
    <x v="4"/>
    <x v="0"/>
    <x v="2"/>
    <n v="61"/>
    <n v="7.3"/>
    <n v="0.11"/>
    <n v="0.85"/>
    <n v="3.99"/>
    <n v="0"/>
    <n v="25.95"/>
  </r>
  <r>
    <x v="2"/>
    <x v="2"/>
    <x v="4"/>
    <x v="1"/>
    <x v="0"/>
    <n v="33"/>
    <n v="4.34"/>
    <n v="0.03"/>
    <n v="0.86"/>
    <n v="4.7300000000000004"/>
    <n v="0"/>
    <n v="21.51"/>
  </r>
  <r>
    <x v="2"/>
    <x v="2"/>
    <x v="4"/>
    <x v="2"/>
    <x v="0"/>
    <n v="47"/>
    <n v="4.59"/>
    <n v="0.03"/>
    <n v="0.7"/>
    <n v="3.9"/>
    <n v="1"/>
    <n v="23.88"/>
  </r>
  <r>
    <x v="2"/>
    <x v="3"/>
    <x v="0"/>
    <x v="0"/>
    <x v="0"/>
    <n v="63"/>
    <n v="7.21"/>
    <n v="0.13"/>
    <n v="0.84"/>
    <n v="4.2300000000000004"/>
    <n v="0"/>
    <n v="25.82"/>
  </r>
  <r>
    <x v="2"/>
    <x v="3"/>
    <x v="0"/>
    <x v="1"/>
    <x v="1"/>
    <n v="79"/>
    <n v="5.53"/>
    <n v="0.18"/>
    <n v="0.89"/>
    <n v="4"/>
    <n v="0"/>
    <n v="23.3"/>
  </r>
  <r>
    <x v="2"/>
    <x v="3"/>
    <x v="0"/>
    <x v="2"/>
    <x v="1"/>
    <n v="56"/>
    <n v="5.99"/>
    <n v="0.09"/>
    <n v="0.61"/>
    <n v="4.4800000000000004"/>
    <n v="0"/>
    <n v="23.98"/>
  </r>
  <r>
    <x v="2"/>
    <x v="3"/>
    <x v="1"/>
    <x v="0"/>
    <x v="1"/>
    <n v="66"/>
    <n v="5.59"/>
    <n v="0.14000000000000001"/>
    <n v="0.82"/>
    <n v="4.08"/>
    <n v="3"/>
    <n v="29.38"/>
  </r>
  <r>
    <x v="2"/>
    <x v="3"/>
    <x v="1"/>
    <x v="1"/>
    <x v="0"/>
    <n v="58"/>
    <n v="7.07"/>
    <n v="0.06"/>
    <n v="0.89"/>
    <n v="4.01"/>
    <n v="0"/>
    <n v="25.6"/>
  </r>
  <r>
    <x v="2"/>
    <x v="3"/>
    <x v="1"/>
    <x v="2"/>
    <x v="0"/>
    <n v="33"/>
    <n v="5.98"/>
    <n v="0.09"/>
    <n v="0.64"/>
    <n v="3.82"/>
    <n v="2"/>
    <n v="27.97"/>
  </r>
  <r>
    <x v="2"/>
    <x v="3"/>
    <x v="2"/>
    <x v="0"/>
    <x v="0"/>
    <n v="63"/>
    <n v="6.4"/>
    <n v="0.05"/>
    <n v="0.78"/>
    <n v="3.57"/>
    <n v="0"/>
    <n v="24.6"/>
  </r>
  <r>
    <x v="2"/>
    <x v="3"/>
    <x v="2"/>
    <x v="1"/>
    <x v="1"/>
    <n v="73"/>
    <n v="6.17"/>
    <n v="0.09"/>
    <n v="0.84"/>
    <n v="4.8"/>
    <n v="0"/>
    <n v="24.26"/>
  </r>
  <r>
    <x v="2"/>
    <x v="3"/>
    <x v="2"/>
    <x v="2"/>
    <x v="2"/>
    <n v="65"/>
    <n v="7.26"/>
    <n v="7.0000000000000007E-2"/>
    <n v="0.85"/>
    <n v="4.6399999999999997"/>
    <n v="1"/>
    <n v="27.89"/>
  </r>
  <r>
    <x v="2"/>
    <x v="3"/>
    <x v="3"/>
    <x v="0"/>
    <x v="0"/>
    <n v="48"/>
    <n v="5.55"/>
    <n v="0.03"/>
    <n v="0.82"/>
    <n v="4.21"/>
    <n v="0"/>
    <n v="23.32"/>
  </r>
  <r>
    <x v="2"/>
    <x v="3"/>
    <x v="3"/>
    <x v="1"/>
    <x v="2"/>
    <n v="63"/>
    <n v="4.72"/>
    <n v="0.11"/>
    <n v="0.83"/>
    <n v="4.63"/>
    <n v="0"/>
    <n v="22.08"/>
  </r>
  <r>
    <x v="2"/>
    <x v="3"/>
    <x v="3"/>
    <x v="2"/>
    <x v="2"/>
    <n v="57"/>
    <n v="6.16"/>
    <n v="0.08"/>
    <n v="0.61"/>
    <n v="4.76"/>
    <n v="2"/>
    <n v="28.24"/>
  </r>
  <r>
    <x v="2"/>
    <x v="3"/>
    <x v="4"/>
    <x v="0"/>
    <x v="0"/>
    <n v="73"/>
    <n v="5.61"/>
    <n v="0.08"/>
    <n v="0.88"/>
    <n v="4.2699999999999996"/>
    <n v="0"/>
    <n v="23.42"/>
  </r>
  <r>
    <x v="2"/>
    <x v="3"/>
    <x v="4"/>
    <x v="1"/>
    <x v="1"/>
    <n v="62"/>
    <n v="4.1900000000000004"/>
    <n v="0.2"/>
    <n v="0.89"/>
    <n v="3.97"/>
    <n v="1"/>
    <n v="23.28"/>
  </r>
  <r>
    <x v="2"/>
    <x v="3"/>
    <x v="4"/>
    <x v="2"/>
    <x v="2"/>
    <n v="56"/>
    <n v="7.94"/>
    <n v="7.0000000000000007E-2"/>
    <n v="0.81"/>
    <n v="4.49"/>
    <n v="0"/>
    <n v="26.91"/>
  </r>
  <r>
    <x v="2"/>
    <x v="4"/>
    <x v="0"/>
    <x v="0"/>
    <x v="2"/>
    <n v="77"/>
    <n v="4.9800000000000004"/>
    <n v="0.06"/>
    <n v="0.79"/>
    <n v="3.54"/>
    <n v="3"/>
    <n v="28.47"/>
  </r>
  <r>
    <x v="2"/>
    <x v="4"/>
    <x v="0"/>
    <x v="1"/>
    <x v="1"/>
    <n v="45"/>
    <n v="5.21"/>
    <n v="0.24"/>
    <n v="0.89"/>
    <n v="3.54"/>
    <n v="2"/>
    <n v="26.82"/>
  </r>
  <r>
    <x v="2"/>
    <x v="4"/>
    <x v="0"/>
    <x v="2"/>
    <x v="0"/>
    <n v="50"/>
    <n v="7.15"/>
    <n v="0.06"/>
    <n v="0.65"/>
    <n v="4.74"/>
    <n v="0"/>
    <n v="25.72"/>
  </r>
  <r>
    <x v="2"/>
    <x v="4"/>
    <x v="1"/>
    <x v="0"/>
    <x v="2"/>
    <n v="37"/>
    <n v="5.47"/>
    <n v="0.15"/>
    <n v="0.76"/>
    <n v="3.5"/>
    <n v="0"/>
    <n v="23.2"/>
  </r>
  <r>
    <x v="2"/>
    <x v="4"/>
    <x v="1"/>
    <x v="1"/>
    <x v="0"/>
    <n v="66"/>
    <n v="5.36"/>
    <n v="0.12"/>
    <n v="0.87"/>
    <n v="4.3600000000000003"/>
    <n v="1"/>
    <n v="25.04"/>
  </r>
  <r>
    <x v="2"/>
    <x v="4"/>
    <x v="1"/>
    <x v="2"/>
    <x v="2"/>
    <n v="31"/>
    <n v="6.43"/>
    <n v="0.03"/>
    <n v="0.7"/>
    <n v="4.4400000000000004"/>
    <n v="0"/>
    <n v="24.64"/>
  </r>
  <r>
    <x v="2"/>
    <x v="4"/>
    <x v="2"/>
    <x v="0"/>
    <x v="0"/>
    <n v="60"/>
    <n v="5.81"/>
    <n v="0.03"/>
    <n v="0.87"/>
    <n v="4.7300000000000004"/>
    <n v="0"/>
    <n v="23.72"/>
  </r>
  <r>
    <x v="2"/>
    <x v="4"/>
    <x v="2"/>
    <x v="1"/>
    <x v="2"/>
    <n v="67"/>
    <n v="5.45"/>
    <n v="0.06"/>
    <n v="0.76"/>
    <n v="4.1500000000000004"/>
    <n v="1"/>
    <n v="25.18"/>
  </r>
  <r>
    <x v="2"/>
    <x v="4"/>
    <x v="2"/>
    <x v="2"/>
    <x v="2"/>
    <n v="31"/>
    <n v="5.84"/>
    <n v="0.06"/>
    <n v="0.66"/>
    <n v="3.87"/>
    <n v="2"/>
    <n v="27.76"/>
  </r>
  <r>
    <x v="2"/>
    <x v="4"/>
    <x v="3"/>
    <x v="0"/>
    <x v="2"/>
    <n v="56"/>
    <n v="5.29"/>
    <n v="0.02"/>
    <n v="0.84"/>
    <n v="4.59"/>
    <n v="0"/>
    <n v="22.94"/>
  </r>
  <r>
    <x v="2"/>
    <x v="4"/>
    <x v="3"/>
    <x v="1"/>
    <x v="1"/>
    <n v="42"/>
    <n v="4.3499999999999996"/>
    <n v="0.21"/>
    <n v="0.77"/>
    <n v="4.66"/>
    <n v="0"/>
    <n v="21.52"/>
  </r>
  <r>
    <x v="2"/>
    <x v="4"/>
    <x v="3"/>
    <x v="2"/>
    <x v="0"/>
    <n v="39"/>
    <n v="7.2"/>
    <n v="0.13"/>
    <n v="0.74"/>
    <n v="4.33"/>
    <n v="0"/>
    <n v="25.8"/>
  </r>
  <r>
    <x v="2"/>
    <x v="4"/>
    <x v="4"/>
    <x v="0"/>
    <x v="0"/>
    <n v="75"/>
    <n v="6.48"/>
    <n v="0.09"/>
    <n v="0.83"/>
    <n v="3.69"/>
    <n v="1"/>
    <n v="26.72"/>
  </r>
  <r>
    <x v="2"/>
    <x v="4"/>
    <x v="4"/>
    <x v="1"/>
    <x v="1"/>
    <n v="60"/>
    <n v="6.51"/>
    <n v="0.12"/>
    <n v="0.77"/>
    <n v="4.32"/>
    <n v="0"/>
    <n v="24.76"/>
  </r>
  <r>
    <x v="2"/>
    <x v="4"/>
    <x v="4"/>
    <x v="2"/>
    <x v="2"/>
    <n v="44"/>
    <n v="6.71"/>
    <n v="0.1"/>
    <n v="0.82"/>
    <n v="4.26"/>
    <n v="0"/>
    <n v="25.06"/>
  </r>
  <r>
    <x v="2"/>
    <x v="5"/>
    <x v="0"/>
    <x v="0"/>
    <x v="0"/>
    <n v="73"/>
    <n v="6.93"/>
    <n v="0.12"/>
    <n v="0.8"/>
    <n v="3.63"/>
    <n v="0"/>
    <n v="25.4"/>
  </r>
  <r>
    <x v="2"/>
    <x v="5"/>
    <x v="0"/>
    <x v="1"/>
    <x v="1"/>
    <n v="56"/>
    <n v="6.21"/>
    <n v="0.28000000000000003"/>
    <n v="0.89"/>
    <n v="4.05"/>
    <n v="0"/>
    <n v="24.32"/>
  </r>
  <r>
    <x v="2"/>
    <x v="5"/>
    <x v="0"/>
    <x v="2"/>
    <x v="2"/>
    <n v="66"/>
    <n v="7.06"/>
    <n v="0.04"/>
    <n v="0.61"/>
    <n v="4.2300000000000004"/>
    <n v="2"/>
    <n v="29.59"/>
  </r>
  <r>
    <x v="2"/>
    <x v="5"/>
    <x v="1"/>
    <x v="0"/>
    <x v="2"/>
    <n v="39"/>
    <n v="5.59"/>
    <n v="0.13"/>
    <n v="0.78"/>
    <n v="3.86"/>
    <n v="0"/>
    <n v="23.38"/>
  </r>
  <r>
    <x v="2"/>
    <x v="5"/>
    <x v="1"/>
    <x v="1"/>
    <x v="0"/>
    <n v="54"/>
    <n v="5.39"/>
    <n v="0.06"/>
    <n v="0.77"/>
    <n v="4.5199999999999996"/>
    <n v="1"/>
    <n v="25.08"/>
  </r>
  <r>
    <x v="2"/>
    <x v="5"/>
    <x v="1"/>
    <x v="2"/>
    <x v="1"/>
    <n v="66"/>
    <n v="3.57"/>
    <n v="0.27"/>
    <n v="0.72"/>
    <n v="3.64"/>
    <n v="1"/>
    <n v="22.36"/>
  </r>
  <r>
    <x v="2"/>
    <x v="5"/>
    <x v="2"/>
    <x v="0"/>
    <x v="2"/>
    <n v="70"/>
    <n v="5.97"/>
    <n v="0.03"/>
    <n v="0.87"/>
    <n v="4.04"/>
    <n v="2"/>
    <n v="27.96"/>
  </r>
  <r>
    <x v="2"/>
    <x v="5"/>
    <x v="2"/>
    <x v="1"/>
    <x v="2"/>
    <n v="45"/>
    <n v="6.93"/>
    <n v="0.11"/>
    <n v="0.85"/>
    <n v="4.54"/>
    <n v="1"/>
    <n v="27.4"/>
  </r>
  <r>
    <x v="2"/>
    <x v="5"/>
    <x v="2"/>
    <x v="2"/>
    <x v="1"/>
    <n v="38"/>
    <n v="5.67"/>
    <n v="0.08"/>
    <n v="0.76"/>
    <n v="4.46"/>
    <n v="0"/>
    <n v="23.5"/>
  </r>
  <r>
    <x v="2"/>
    <x v="5"/>
    <x v="3"/>
    <x v="0"/>
    <x v="0"/>
    <n v="50"/>
    <n v="5.66"/>
    <n v="0.1"/>
    <n v="0.76"/>
    <n v="3.56"/>
    <n v="1"/>
    <n v="25.49"/>
  </r>
  <r>
    <x v="2"/>
    <x v="5"/>
    <x v="3"/>
    <x v="1"/>
    <x v="2"/>
    <n v="39"/>
    <n v="7.96"/>
    <n v="0.09"/>
    <n v="0.76"/>
    <n v="4.3899999999999997"/>
    <n v="0"/>
    <n v="26.94"/>
  </r>
  <r>
    <x v="2"/>
    <x v="5"/>
    <x v="3"/>
    <x v="2"/>
    <x v="2"/>
    <n v="31"/>
    <n v="5.78"/>
    <n v="7.0000000000000007E-2"/>
    <n v="0.73"/>
    <n v="4.2699999999999996"/>
    <n v="0"/>
    <n v="23.67"/>
  </r>
  <r>
    <x v="2"/>
    <x v="5"/>
    <x v="4"/>
    <x v="0"/>
    <x v="0"/>
    <n v="65"/>
    <n v="3.36"/>
    <n v="0.03"/>
    <n v="0.81"/>
    <n v="4.49"/>
    <n v="0"/>
    <n v="20.04"/>
  </r>
  <r>
    <x v="2"/>
    <x v="5"/>
    <x v="4"/>
    <x v="1"/>
    <x v="1"/>
    <n v="46"/>
    <n v="6.44"/>
    <n v="0.08"/>
    <n v="0.75"/>
    <n v="4.5"/>
    <n v="2"/>
    <n v="28.66"/>
  </r>
  <r>
    <x v="2"/>
    <x v="5"/>
    <x v="4"/>
    <x v="2"/>
    <x v="1"/>
    <n v="35"/>
    <n v="6.02"/>
    <n v="0.16"/>
    <n v="0.68"/>
    <n v="3.94"/>
    <n v="1"/>
    <n v="26.03"/>
  </r>
  <r>
    <x v="2"/>
    <x v="6"/>
    <x v="0"/>
    <x v="0"/>
    <x v="1"/>
    <n v="41"/>
    <n v="6.16"/>
    <n v="0.26"/>
    <n v="0.75"/>
    <n v="4.67"/>
    <n v="1"/>
    <n v="26.24"/>
  </r>
  <r>
    <x v="2"/>
    <x v="6"/>
    <x v="0"/>
    <x v="1"/>
    <x v="2"/>
    <n v="37"/>
    <n v="6.05"/>
    <n v="0.05"/>
    <n v="0.77"/>
    <n v="4.67"/>
    <n v="1"/>
    <n v="26.08"/>
  </r>
  <r>
    <x v="2"/>
    <x v="6"/>
    <x v="0"/>
    <x v="2"/>
    <x v="2"/>
    <n v="63"/>
    <n v="7.67"/>
    <n v="0.08"/>
    <n v="0.61"/>
    <n v="4.75"/>
    <n v="2"/>
    <n v="30.5"/>
  </r>
  <r>
    <x v="2"/>
    <x v="6"/>
    <x v="1"/>
    <x v="0"/>
    <x v="2"/>
    <n v="61"/>
    <n v="5.89"/>
    <n v="0.1"/>
    <n v="0.85"/>
    <n v="4.2300000000000004"/>
    <n v="1"/>
    <n v="25.84"/>
  </r>
  <r>
    <x v="2"/>
    <x v="6"/>
    <x v="1"/>
    <x v="1"/>
    <x v="1"/>
    <n v="55"/>
    <n v="5.62"/>
    <n v="0.21"/>
    <n v="0.87"/>
    <n v="4.25"/>
    <n v="0"/>
    <n v="23.43"/>
  </r>
  <r>
    <x v="2"/>
    <x v="6"/>
    <x v="1"/>
    <x v="2"/>
    <x v="2"/>
    <n v="69"/>
    <n v="5.68"/>
    <n v="0.14000000000000001"/>
    <n v="0.64"/>
    <n v="4.34"/>
    <n v="2"/>
    <n v="27.52"/>
  </r>
  <r>
    <x v="2"/>
    <x v="6"/>
    <x v="2"/>
    <x v="0"/>
    <x v="2"/>
    <n v="67"/>
    <n v="5.74"/>
    <n v="0.14000000000000001"/>
    <n v="0.86"/>
    <n v="3.58"/>
    <n v="0"/>
    <n v="23.61"/>
  </r>
  <r>
    <x v="2"/>
    <x v="6"/>
    <x v="2"/>
    <x v="1"/>
    <x v="1"/>
    <n v="70"/>
    <n v="4.16"/>
    <n v="0.16"/>
    <n v="0.77"/>
    <n v="4.75"/>
    <n v="0"/>
    <n v="21.24"/>
  </r>
  <r>
    <x v="2"/>
    <x v="6"/>
    <x v="2"/>
    <x v="2"/>
    <x v="1"/>
    <n v="50"/>
    <n v="6.11"/>
    <n v="0.28000000000000003"/>
    <n v="0.79"/>
    <n v="4.21"/>
    <n v="0"/>
    <n v="24.16"/>
  </r>
  <r>
    <x v="2"/>
    <x v="6"/>
    <x v="3"/>
    <x v="0"/>
    <x v="0"/>
    <n v="32"/>
    <n v="6.41"/>
    <n v="0.04"/>
    <n v="0.82"/>
    <n v="3.77"/>
    <n v="0"/>
    <n v="24.62"/>
  </r>
  <r>
    <x v="2"/>
    <x v="6"/>
    <x v="3"/>
    <x v="1"/>
    <x v="2"/>
    <n v="77"/>
    <n v="6.01"/>
    <n v="7.0000000000000007E-2"/>
    <n v="0.85"/>
    <n v="3.64"/>
    <n v="1"/>
    <n v="26.02"/>
  </r>
  <r>
    <x v="2"/>
    <x v="6"/>
    <x v="3"/>
    <x v="2"/>
    <x v="0"/>
    <n v="55"/>
    <n v="6.18"/>
    <n v="0.09"/>
    <n v="0.65"/>
    <n v="4.0999999999999996"/>
    <n v="2"/>
    <n v="28.27"/>
  </r>
  <r>
    <x v="2"/>
    <x v="6"/>
    <x v="4"/>
    <x v="0"/>
    <x v="1"/>
    <n v="67"/>
    <n v="6.16"/>
    <n v="0.1"/>
    <n v="0.87"/>
    <n v="4.68"/>
    <n v="2"/>
    <n v="28.24"/>
  </r>
  <r>
    <x v="2"/>
    <x v="6"/>
    <x v="4"/>
    <x v="1"/>
    <x v="2"/>
    <n v="45"/>
    <n v="6.04"/>
    <n v="0.15"/>
    <n v="0.86"/>
    <n v="3.71"/>
    <n v="0"/>
    <n v="24.06"/>
  </r>
  <r>
    <x v="2"/>
    <x v="6"/>
    <x v="4"/>
    <x v="2"/>
    <x v="2"/>
    <n v="76"/>
    <n v="5.76"/>
    <n v="0.12"/>
    <n v="0.84"/>
    <n v="4.49"/>
    <n v="2"/>
    <n v="27.64"/>
  </r>
  <r>
    <x v="2"/>
    <x v="7"/>
    <x v="0"/>
    <x v="0"/>
    <x v="0"/>
    <n v="66"/>
    <n v="4.45"/>
    <n v="0.02"/>
    <n v="0.8"/>
    <n v="4.7"/>
    <n v="0"/>
    <n v="21.68"/>
  </r>
  <r>
    <x v="2"/>
    <x v="7"/>
    <x v="0"/>
    <x v="1"/>
    <x v="0"/>
    <n v="53"/>
    <n v="5.51"/>
    <n v="0.09"/>
    <n v="0.87"/>
    <n v="3.83"/>
    <n v="0"/>
    <n v="23.26"/>
  </r>
  <r>
    <x v="2"/>
    <x v="7"/>
    <x v="0"/>
    <x v="2"/>
    <x v="0"/>
    <n v="73"/>
    <n v="6.47"/>
    <n v="0.11"/>
    <n v="0.63"/>
    <n v="3.88"/>
    <n v="0"/>
    <n v="24.7"/>
  </r>
  <r>
    <x v="2"/>
    <x v="7"/>
    <x v="1"/>
    <x v="0"/>
    <x v="2"/>
    <n v="30"/>
    <n v="4.66"/>
    <n v="0.12"/>
    <n v="0.89"/>
    <n v="4.74"/>
    <n v="0"/>
    <n v="21.99"/>
  </r>
  <r>
    <x v="2"/>
    <x v="7"/>
    <x v="1"/>
    <x v="1"/>
    <x v="0"/>
    <n v="47"/>
    <n v="4.4000000000000004"/>
    <n v="0.15"/>
    <n v="0.81"/>
    <n v="4.25"/>
    <n v="0"/>
    <n v="21.6"/>
  </r>
  <r>
    <x v="2"/>
    <x v="7"/>
    <x v="1"/>
    <x v="2"/>
    <x v="2"/>
    <n v="30"/>
    <n v="6.01"/>
    <n v="0.05"/>
    <n v="0.61"/>
    <n v="3.55"/>
    <n v="0"/>
    <n v="24.02"/>
  </r>
  <r>
    <x v="2"/>
    <x v="7"/>
    <x v="2"/>
    <x v="0"/>
    <x v="2"/>
    <n v="74"/>
    <n v="5.05"/>
    <n v="0.05"/>
    <n v="0.81"/>
    <n v="4.43"/>
    <n v="0"/>
    <n v="22.58"/>
  </r>
  <r>
    <x v="2"/>
    <x v="7"/>
    <x v="2"/>
    <x v="1"/>
    <x v="0"/>
    <n v="41"/>
    <n v="5.19"/>
    <n v="7.0000000000000007E-2"/>
    <n v="0.88"/>
    <n v="4.7300000000000004"/>
    <n v="2"/>
    <n v="26.78"/>
  </r>
  <r>
    <x v="2"/>
    <x v="7"/>
    <x v="2"/>
    <x v="2"/>
    <x v="0"/>
    <n v="33"/>
    <n v="6.96"/>
    <n v="0.13"/>
    <n v="0.82"/>
    <n v="4.21"/>
    <n v="0"/>
    <n v="25.44"/>
  </r>
  <r>
    <x v="2"/>
    <x v="7"/>
    <x v="3"/>
    <x v="0"/>
    <x v="1"/>
    <n v="77"/>
    <n v="6.89"/>
    <n v="0.1"/>
    <n v="0.76"/>
    <n v="3.59"/>
    <n v="2"/>
    <n v="29.34"/>
  </r>
  <r>
    <x v="2"/>
    <x v="7"/>
    <x v="3"/>
    <x v="1"/>
    <x v="0"/>
    <n v="32"/>
    <n v="5.58"/>
    <n v="0.03"/>
    <n v="0.87"/>
    <n v="3.56"/>
    <n v="1"/>
    <n v="25.37"/>
  </r>
  <r>
    <x v="2"/>
    <x v="7"/>
    <x v="3"/>
    <x v="2"/>
    <x v="2"/>
    <n v="53"/>
    <n v="5.05"/>
    <n v="0.13"/>
    <n v="0.73"/>
    <n v="3.87"/>
    <n v="0"/>
    <n v="22.58"/>
  </r>
  <r>
    <x v="2"/>
    <x v="7"/>
    <x v="4"/>
    <x v="0"/>
    <x v="1"/>
    <n v="70"/>
    <n v="6.42"/>
    <n v="0.05"/>
    <n v="0.81"/>
    <n v="4.18"/>
    <n v="0"/>
    <n v="24.63"/>
  </r>
  <r>
    <x v="2"/>
    <x v="7"/>
    <x v="4"/>
    <x v="1"/>
    <x v="2"/>
    <n v="36"/>
    <n v="6.99"/>
    <n v="0.03"/>
    <n v="0.78"/>
    <n v="3.9"/>
    <n v="1"/>
    <n v="27.48"/>
  </r>
  <r>
    <x v="2"/>
    <x v="7"/>
    <x v="4"/>
    <x v="2"/>
    <x v="0"/>
    <n v="70"/>
    <n v="5.84"/>
    <n v="0.13"/>
    <n v="0.71"/>
    <n v="3.89"/>
    <n v="0"/>
    <n v="23.76"/>
  </r>
  <r>
    <x v="2"/>
    <x v="8"/>
    <x v="0"/>
    <x v="0"/>
    <x v="2"/>
    <n v="56"/>
    <n v="5.38"/>
    <n v="0.06"/>
    <n v="0.9"/>
    <n v="4.03"/>
    <n v="0"/>
    <n v="23.07"/>
  </r>
  <r>
    <x v="2"/>
    <x v="8"/>
    <x v="0"/>
    <x v="1"/>
    <x v="2"/>
    <n v="50"/>
    <n v="5.62"/>
    <n v="0.04"/>
    <n v="0.81"/>
    <n v="4.04"/>
    <n v="1"/>
    <n v="25.43"/>
  </r>
  <r>
    <x v="2"/>
    <x v="8"/>
    <x v="0"/>
    <x v="2"/>
    <x v="1"/>
    <n v="63"/>
    <n v="6.42"/>
    <n v="0.28999999999999998"/>
    <n v="0.61"/>
    <n v="3.84"/>
    <n v="1"/>
    <n v="26.63"/>
  </r>
  <r>
    <x v="2"/>
    <x v="8"/>
    <x v="1"/>
    <x v="0"/>
    <x v="1"/>
    <n v="54"/>
    <n v="7.4"/>
    <n v="0.08"/>
    <n v="0.83"/>
    <n v="4.51"/>
    <n v="1"/>
    <n v="28.1"/>
  </r>
  <r>
    <x v="2"/>
    <x v="8"/>
    <x v="1"/>
    <x v="1"/>
    <x v="1"/>
    <n v="46"/>
    <n v="7.08"/>
    <n v="0.17"/>
    <n v="0.89"/>
    <n v="4.4000000000000004"/>
    <n v="1"/>
    <n v="27.62"/>
  </r>
  <r>
    <x v="2"/>
    <x v="8"/>
    <x v="1"/>
    <x v="2"/>
    <x v="2"/>
    <n v="46"/>
    <n v="7"/>
    <n v="0.02"/>
    <n v="0.61"/>
    <n v="3.68"/>
    <n v="0"/>
    <n v="25.5"/>
  </r>
  <r>
    <x v="2"/>
    <x v="8"/>
    <x v="2"/>
    <x v="0"/>
    <x v="0"/>
    <n v="32"/>
    <n v="6.31"/>
    <n v="0.11"/>
    <n v="0.82"/>
    <n v="4.21"/>
    <n v="0"/>
    <n v="24.46"/>
  </r>
  <r>
    <x v="2"/>
    <x v="8"/>
    <x v="2"/>
    <x v="1"/>
    <x v="0"/>
    <n v="65"/>
    <n v="5.55"/>
    <n v="0.12"/>
    <n v="0.86"/>
    <n v="4"/>
    <n v="0"/>
    <n v="23.32"/>
  </r>
  <r>
    <x v="2"/>
    <x v="8"/>
    <x v="2"/>
    <x v="2"/>
    <x v="2"/>
    <n v="69"/>
    <n v="6.49"/>
    <n v="0.13"/>
    <n v="0.62"/>
    <n v="4.2300000000000004"/>
    <n v="0"/>
    <n v="24.74"/>
  </r>
  <r>
    <x v="2"/>
    <x v="8"/>
    <x v="3"/>
    <x v="0"/>
    <x v="2"/>
    <n v="62"/>
    <n v="7.25"/>
    <n v="0.15"/>
    <n v="0.76"/>
    <n v="4.16"/>
    <n v="1"/>
    <n v="27.88"/>
  </r>
  <r>
    <x v="2"/>
    <x v="8"/>
    <x v="3"/>
    <x v="1"/>
    <x v="2"/>
    <n v="42"/>
    <n v="6.19"/>
    <n v="0.11"/>
    <n v="0.84"/>
    <n v="3.91"/>
    <n v="2"/>
    <n v="28.28"/>
  </r>
  <r>
    <x v="2"/>
    <x v="8"/>
    <x v="3"/>
    <x v="2"/>
    <x v="0"/>
    <n v="37"/>
    <n v="6.23"/>
    <n v="0.05"/>
    <n v="0.76"/>
    <n v="4.24"/>
    <n v="2"/>
    <n v="28.34"/>
  </r>
  <r>
    <x v="2"/>
    <x v="8"/>
    <x v="4"/>
    <x v="0"/>
    <x v="2"/>
    <n v="47"/>
    <n v="5.34"/>
    <n v="0.04"/>
    <n v="0.75"/>
    <n v="4.01"/>
    <n v="0"/>
    <n v="23.01"/>
  </r>
  <r>
    <x v="2"/>
    <x v="8"/>
    <x v="4"/>
    <x v="1"/>
    <x v="0"/>
    <n v="35"/>
    <n v="5.5"/>
    <n v="0.06"/>
    <n v="0.86"/>
    <n v="4.03"/>
    <n v="0"/>
    <n v="23.25"/>
  </r>
  <r>
    <x v="2"/>
    <x v="8"/>
    <x v="4"/>
    <x v="2"/>
    <x v="2"/>
    <n v="79"/>
    <n v="7.81"/>
    <n v="0.06"/>
    <n v="0.61"/>
    <n v="3.99"/>
    <n v="2"/>
    <n v="30.72"/>
  </r>
  <r>
    <x v="2"/>
    <x v="9"/>
    <x v="0"/>
    <x v="0"/>
    <x v="0"/>
    <n v="36"/>
    <n v="5.34"/>
    <n v="0.1"/>
    <n v="0.78"/>
    <n v="4.04"/>
    <n v="1"/>
    <n v="25.01"/>
  </r>
  <r>
    <x v="2"/>
    <x v="9"/>
    <x v="0"/>
    <x v="1"/>
    <x v="1"/>
    <n v="58"/>
    <n v="6.42"/>
    <n v="0.28000000000000003"/>
    <n v="0.75"/>
    <n v="4.09"/>
    <n v="3"/>
    <n v="30.63"/>
  </r>
  <r>
    <x v="2"/>
    <x v="9"/>
    <x v="0"/>
    <x v="2"/>
    <x v="1"/>
    <n v="34"/>
    <n v="5.83"/>
    <n v="0.28999999999999998"/>
    <n v="0.74"/>
    <n v="3.75"/>
    <n v="0"/>
    <n v="23.74"/>
  </r>
  <r>
    <x v="2"/>
    <x v="9"/>
    <x v="1"/>
    <x v="0"/>
    <x v="1"/>
    <n v="78"/>
    <n v="4.5"/>
    <n v="0.1"/>
    <n v="0.82"/>
    <n v="3.85"/>
    <n v="0"/>
    <n v="21.75"/>
  </r>
  <r>
    <x v="2"/>
    <x v="9"/>
    <x v="1"/>
    <x v="1"/>
    <x v="0"/>
    <n v="51"/>
    <n v="5.35"/>
    <n v="0.04"/>
    <n v="0.84"/>
    <n v="3.72"/>
    <n v="2"/>
    <n v="27.02"/>
  </r>
  <r>
    <x v="2"/>
    <x v="9"/>
    <x v="1"/>
    <x v="2"/>
    <x v="1"/>
    <n v="70"/>
    <n v="6.2"/>
    <n v="0.21"/>
    <n v="0.76"/>
    <n v="3.85"/>
    <n v="0"/>
    <n v="24.3"/>
  </r>
  <r>
    <x v="2"/>
    <x v="9"/>
    <x v="2"/>
    <x v="0"/>
    <x v="2"/>
    <n v="44"/>
    <n v="5.19"/>
    <n v="0.09"/>
    <n v="0.82"/>
    <n v="4.37"/>
    <n v="0"/>
    <n v="22.78"/>
  </r>
  <r>
    <x v="2"/>
    <x v="9"/>
    <x v="2"/>
    <x v="1"/>
    <x v="0"/>
    <n v="31"/>
    <n v="5.79"/>
    <n v="0.1"/>
    <n v="0.86"/>
    <n v="4.38"/>
    <n v="0"/>
    <n v="23.68"/>
  </r>
  <r>
    <x v="2"/>
    <x v="9"/>
    <x v="2"/>
    <x v="2"/>
    <x v="1"/>
    <n v="33"/>
    <n v="6.28"/>
    <n v="0.28000000000000003"/>
    <n v="0.74"/>
    <n v="4.72"/>
    <n v="0"/>
    <n v="24.42"/>
  </r>
  <r>
    <x v="2"/>
    <x v="9"/>
    <x v="3"/>
    <x v="0"/>
    <x v="2"/>
    <n v="75"/>
    <n v="6.56"/>
    <n v="0.15"/>
    <n v="0.77"/>
    <n v="3.51"/>
    <n v="0"/>
    <n v="24.84"/>
  </r>
  <r>
    <x v="2"/>
    <x v="9"/>
    <x v="3"/>
    <x v="1"/>
    <x v="1"/>
    <n v="50"/>
    <n v="4.9800000000000004"/>
    <n v="0.28000000000000003"/>
    <n v="0.82"/>
    <n v="3.84"/>
    <n v="0"/>
    <n v="22.47"/>
  </r>
  <r>
    <x v="2"/>
    <x v="9"/>
    <x v="3"/>
    <x v="2"/>
    <x v="2"/>
    <n v="55"/>
    <n v="7.97"/>
    <n v="0.11"/>
    <n v="0.65"/>
    <n v="4.3499999999999996"/>
    <n v="2"/>
    <n v="30.96"/>
  </r>
  <r>
    <x v="2"/>
    <x v="9"/>
    <x v="4"/>
    <x v="0"/>
    <x v="1"/>
    <n v="76"/>
    <n v="6.54"/>
    <n v="0.06"/>
    <n v="0.8"/>
    <n v="3.52"/>
    <n v="0"/>
    <n v="24.81"/>
  </r>
  <r>
    <x v="2"/>
    <x v="9"/>
    <x v="4"/>
    <x v="1"/>
    <x v="2"/>
    <n v="40"/>
    <n v="7.71"/>
    <n v="0.1"/>
    <n v="0.85"/>
    <n v="3.61"/>
    <n v="3"/>
    <n v="32.56"/>
  </r>
  <r>
    <x v="2"/>
    <x v="9"/>
    <x v="4"/>
    <x v="2"/>
    <x v="2"/>
    <n v="67"/>
    <n v="5.7"/>
    <n v="7.0000000000000007E-2"/>
    <n v="0.72"/>
    <n v="3.87"/>
    <n v="1"/>
    <n v="25.55"/>
  </r>
  <r>
    <x v="3"/>
    <x v="10"/>
    <x v="5"/>
    <x v="3"/>
    <x v="3"/>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167B8-BADA-4ACE-A524-24600814CD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hift">
  <location ref="A7:B11" firstHeaderRow="1" firstDataRow="1" firstDataCol="1"/>
  <pivotFields count="12">
    <pivotField showAll="0">
      <items count="5">
        <item x="0"/>
        <item x="1"/>
        <item x="2"/>
        <item x="3"/>
        <item t="default"/>
      </items>
    </pivotField>
    <pivotField showAll="0"/>
    <pivotField showAll="0"/>
    <pivotField axis="axisRow"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3"/>
  </rowFields>
  <rowItems count="4">
    <i>
      <x v="1"/>
    </i>
    <i>
      <x/>
    </i>
    <i>
      <x v="2"/>
    </i>
    <i t="grand">
      <x/>
    </i>
  </rowItems>
  <colItems count="1">
    <i/>
  </colItems>
  <dataFields count="1">
    <dataField name="Number of CallsHandled" fld="5" baseField="3" baseItem="2"/>
  </dataFields>
  <chartFormats count="1">
    <chartFormat chart="14"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3D048-8DDC-4D7C-BCE9-801D44D435DA}"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rowHeaderCaption="Team">
  <location ref="A37:D40" firstHeaderRow="0" firstDataRow="1" firstDataCol="1"/>
  <pivotFields count="12">
    <pivotField axis="axisRow" showAll="0" sortType="descending">
      <items count="5">
        <item x="0"/>
        <item x="1"/>
        <item x="2"/>
        <item h="1" x="3"/>
        <item t="default"/>
      </items>
      <autoSortScope>
        <pivotArea dataOnly="0" outline="0" fieldPosition="0">
          <references count="1">
            <reference field="4294967294" count="1" selected="0">
              <x v="1"/>
            </reference>
          </references>
        </pivotArea>
      </autoSortScope>
    </pivotField>
    <pivotField showAll="0">
      <items count="12">
        <item x="0"/>
        <item x="9"/>
        <item x="1"/>
        <item x="2"/>
        <item x="3"/>
        <item x="4"/>
        <item x="5"/>
        <item x="6"/>
        <item x="7"/>
        <item x="8"/>
        <item x="10"/>
        <item t="default"/>
      </items>
    </pivotField>
    <pivotField showAll="0">
      <items count="7">
        <item x="0"/>
        <item x="1"/>
        <item x="2"/>
        <item x="3"/>
        <item x="4"/>
        <item x="5"/>
        <item t="default"/>
      </items>
    </pivotField>
    <pivotField showAll="0">
      <items count="5">
        <item x="1"/>
        <item x="2"/>
        <item x="0"/>
        <item h="1" x="3"/>
        <item t="default"/>
      </items>
    </pivotField>
    <pivotField showAll="0"/>
    <pivotField dataField="1" showAll="0"/>
    <pivotField dataField="1" showAll="0"/>
    <pivotField showAll="0"/>
    <pivotField showAll="0"/>
    <pivotField showAll="0"/>
    <pivotField showAll="0"/>
    <pivotField dataField="1" showAll="0"/>
  </pivotFields>
  <rowFields count="1">
    <field x="0"/>
  </rowFields>
  <rowItems count="3">
    <i>
      <x v="2"/>
    </i>
    <i>
      <x v="1"/>
    </i>
    <i>
      <x/>
    </i>
  </rowItems>
  <colFields count="1">
    <field x="-2"/>
  </colFields>
  <colItems count="3">
    <i>
      <x/>
    </i>
    <i i="1">
      <x v="1"/>
    </i>
    <i i="2">
      <x v="2"/>
    </i>
  </colItems>
  <dataFields count="3">
    <dataField name="Avgerage CallDuration" fld="6" baseField="0" baseItem="0"/>
    <dataField name="Number of Calls Handled" fld="5" baseField="0" baseItem="0"/>
    <dataField name="Average Cost Per Call" fld="11" subtotal="average" baseField="0" baseItem="2" numFmtId="2"/>
  </dataFields>
  <formats count="1">
    <format dxfId="15">
      <pivotArea outline="0" collapsedLevelsAreSubtotals="1" fieldPosition="0">
        <references count="1">
          <reference field="4294967294" count="1" selected="0">
            <x v="2"/>
          </reference>
        </references>
      </pivotArea>
    </format>
  </formats>
  <chartFormats count="6">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39" format="10" series="1">
      <pivotArea type="data" outline="0" fieldPosition="0">
        <references count="1">
          <reference field="4294967294" count="1" selected="0">
            <x v="2"/>
          </reference>
        </references>
      </pivotArea>
    </chartFormat>
    <chartFormat chart="40" format="0" series="1">
      <pivotArea type="data" outline="0" fieldPosition="0">
        <references count="1">
          <reference field="4294967294" count="1" selected="0">
            <x v="0"/>
          </reference>
        </references>
      </pivotArea>
    </chartFormat>
    <chartFormat chart="40" format="1" series="1">
      <pivotArea type="data" outline="0" fieldPosition="0">
        <references count="1">
          <reference field="4294967294" count="1" selected="0">
            <x v="1"/>
          </reference>
        </references>
      </pivotArea>
    </chartFormat>
    <chartFormat chart="40" format="2" series="1">
      <pivotArea type="data" outline="0" fieldPosition="0">
        <references count="1">
          <reference field="429496729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38511-FDCE-4A6F-9F56-D9AB4664C71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Shift">
  <location ref="A21:B25" firstHeaderRow="1" firstDataRow="1" firstDataCol="1"/>
  <pivotFields count="12">
    <pivotField showAll="0">
      <items count="5">
        <item x="0"/>
        <item x="1"/>
        <item x="2"/>
        <item x="3"/>
        <item t="default"/>
      </items>
    </pivotField>
    <pivotField showAll="0"/>
    <pivotField showAll="0"/>
    <pivotField axis="axisRow" showAll="0" sortType="ascending">
      <items count="5">
        <item x="1"/>
        <item x="2"/>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3"/>
  </rowFields>
  <rowItems count="4">
    <i>
      <x v="2"/>
    </i>
    <i>
      <x v="1"/>
    </i>
    <i>
      <x/>
    </i>
    <i t="grand">
      <x/>
    </i>
  </rowItems>
  <colItems count="1">
    <i/>
  </colItems>
  <dataFields count="1">
    <dataField name="Total OvertimeHours" fld="10" baseField="0" baseItem="0"/>
  </dataFields>
  <chartFormats count="1">
    <chartFormat chart="30" format="0"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3DC9727-8A0C-4C03-BF86-9CDA2A6F5EF9}" sourceName="Team">
  <pivotTables>
    <pivotTable tabId="3" name="PivotTable4"/>
    <pivotTable tabId="3" name="PivotTable5"/>
  </pivotTables>
  <data>
    <tabular pivotCacheId="1807333439">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3354DAFE-8A74-4AA2-AAC9-B530DD2758AF}" cache="Slicer_Team" caption="Team"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0BF72D-47DE-44DE-A802-3CE9E442C757}" name="Table14" displayName="Table14" ref="B55:I58" totalsRowShown="0">
  <autoFilter ref="B55:I58" xr:uid="{370BF72D-47DE-44DE-A802-3CE9E442C757}"/>
  <tableColumns count="8">
    <tableColumn id="1" xr3:uid="{B9C16E74-3F33-483C-8E89-C4501E33F809}" name="Team"/>
    <tableColumn id="3" xr3:uid="{B65A6401-441A-4979-8938-44336820729D}" name="Total Calls Handled" dataDxfId="14">
      <calculatedColumnFormula>SUMIF(Raw!A:A,Table14[[#This Row],[Team]],Raw!F:F)</calculatedColumnFormula>
    </tableColumn>
    <tableColumn id="4" xr3:uid="{45C01B65-0CD3-449C-91B8-CDC2480B6032}" name="Average Call duration" dataDxfId="13">
      <calculatedColumnFormula>AVERAGEIF(Raw!A:A,Table14[[#This Row],[Team]],Raw!G:G)</calculatedColumnFormula>
    </tableColumn>
    <tableColumn id="5" xr3:uid="{25D85F0C-7AED-4C69-B211-AF00122C3706}" name="AverageCostPerCall" dataDxfId="12">
      <calculatedColumnFormula>AVERAGEIF(Raw!A:A,Table14[[#This Row],[Team]],Raw!L:L)</calculatedColumnFormula>
    </tableColumn>
    <tableColumn id="12" xr3:uid="{9BB0A66A-E80D-4E27-B49E-BD1F944B7394}" name="Total Escalations" dataDxfId="11">
      <calculatedColumnFormula>SUMIF(Raw!A:A,Table14[[#This Row],[Team]],Raw!M:M)</calculatedColumnFormula>
    </tableColumn>
    <tableColumn id="6" xr3:uid="{6A23F1C7-F076-411C-9F2B-8FD4B504B730}" name="Overall Escalation Rate" dataDxfId="10">
      <calculatedColumnFormula>Table14[[#This Row],[Total Escalations]]/Table14[[#This Row],[Total Calls Handled]]*100</calculatedColumnFormula>
    </tableColumn>
    <tableColumn id="11" xr3:uid="{9484CECE-9C3B-4236-A4F0-54CAD0119D4C}" name="Overall FCR Rate" dataDxfId="9">
      <calculatedColumnFormula>SUMIF(Raw!A:A,Table14[[#This Row],[Team]],Raw!N:N)</calculatedColumnFormula>
    </tableColumn>
    <tableColumn id="7" xr3:uid="{1043E401-321C-43C1-BC39-8C870952C2A2}" name="Overall FCR Rate2" dataDxfId="8">
      <calculatedColumnFormula>Table14[[#This Row],[Overall FCR Rate]]/Table14[[#This Row],[Total Calls Handled]]*100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2D37BF-6C30-4DE0-9AD2-DB42D999B7F1}" name="Table2185" displayName="Table2185" ref="B63:K93" totalsRowShown="0">
  <autoFilter ref="B63:K93" xr:uid="{562D37BF-6C30-4DE0-9AD2-DB42D999B7F1}"/>
  <sortState xmlns:xlrd2="http://schemas.microsoft.com/office/spreadsheetml/2017/richdata2" ref="B64:K93">
    <sortCondition descending="1" ref="J63:J93"/>
  </sortState>
  <tableColumns count="10">
    <tableColumn id="1" xr3:uid="{6E6A944C-B345-4718-A776-7218D616EE81}" name="Team"/>
    <tableColumn id="2" xr3:uid="{3BABE419-F6A9-450A-AE7D-488EF6E03B81}" name="Agent"/>
    <tableColumn id="3" xr3:uid="{A8203398-CD9E-41ED-AF20-64853DBDC790}" name="Total calls Handled" dataDxfId="7">
      <calculatedColumnFormula>SUMIFS(Raw!F:F, Raw!A:A, Table2185[[#This Row],[Team]], Raw!B:B, Table2185[[#This Row],[Agent]])</calculatedColumnFormula>
    </tableColumn>
    <tableColumn id="12" xr3:uid="{ED01A4A1-AE83-4657-857C-F01778AB1D1F}" name="Average Call duration" dataDxfId="6">
      <calculatedColumnFormula>SUMIFS(Raw!G:G,Raw!A:A,Table2185[[#This Row],[Team]],Raw!B:B,Table2185[[#This Row],[Agent]])</calculatedColumnFormula>
    </tableColumn>
    <tableColumn id="4" xr3:uid="{BB713BFD-BEB8-48B5-A853-CD850DB0E715}" name="Average Cost Per call" dataDxfId="5">
      <calculatedColumnFormula>AVERAGEIFS(Raw!L:L,Raw!A:A,B65,Raw!B:B,Table2185[[#This Row],[Agent]])</calculatedColumnFormula>
    </tableColumn>
    <tableColumn id="8" xr3:uid="{4F6B609A-EA97-4453-828E-71B4BC4D29D5}" name="Num Escalations" dataDxfId="4">
      <calculatedColumnFormula>SUMIFS(Raw!M:M,Raw!A:A,Table2185[[#This Row],[Team]],Raw!B:B,Table2185[[#This Row],[Agent]])</calculatedColumnFormula>
    </tableColumn>
    <tableColumn id="5" xr3:uid="{C300FA53-6256-4E06-AF20-986A6D8ABB08}" name="Overall EscalateRte" dataDxfId="3">
      <calculatedColumnFormula>(Table2185[[#This Row],[Num Escalations]]/Table2185[[#This Row],[Total calls Handled]])</calculatedColumnFormula>
    </tableColumn>
    <tableColumn id="9" xr3:uid="{87E6E3C6-9262-4947-8227-CE618D77C87A}" name="Num FCR" dataDxfId="2">
      <calculatedColumnFormula>SUMIFS(Raw!N:N,Raw!A:A,Table2185[[#This Row],[Team]],Raw!B:B,Table2185[[#This Row],[Agent]])</calculatedColumnFormula>
    </tableColumn>
    <tableColumn id="10" xr3:uid="{E8859CC4-2BBD-4CEE-B3A9-F66DC05ABA48}" name="Overall FCRRate" dataDxfId="1">
      <calculatedColumnFormula>Table2185[[#This Row],[Num FCR]]/Table2185[[#This Row],[Total calls Handled]]</calculatedColumnFormula>
    </tableColumn>
    <tableColumn id="7" xr3:uid="{BFA7D699-1A1A-4BA9-8956-19C04C719AE3}" name="Average CSATScore" dataDxfId="0">
      <calculatedColumnFormula>AVERAGEIFS(Raw!J:J,Raw!A:A,Table2185[[#This Row],[Team]],Raw!B:B,Table2185[[#This Row],[Agent]])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1"/>
  <sheetViews>
    <sheetView workbookViewId="0">
      <pane ySplit="1" topLeftCell="A2" activePane="bottomLeft" state="frozen"/>
      <selection pane="bottomLeft" activeCell="N2" sqref="N2"/>
    </sheetView>
  </sheetViews>
  <sheetFormatPr defaultRowHeight="14.5" x14ac:dyDescent="0.35"/>
  <cols>
    <col min="1" max="1" width="13.36328125" customWidth="1"/>
    <col min="2" max="2" width="13.90625" customWidth="1"/>
    <col min="3" max="3" width="19.08984375" customWidth="1"/>
    <col min="4" max="4" width="13" customWidth="1"/>
    <col min="5" max="5" width="18.6328125" customWidth="1"/>
    <col min="6" max="6" width="15.26953125" customWidth="1"/>
    <col min="7" max="7" width="15.26953125" bestFit="1" customWidth="1"/>
    <col min="8" max="8" width="14" bestFit="1" customWidth="1"/>
    <col min="9" max="9" width="14.7265625" customWidth="1"/>
    <col min="10" max="10" width="13.08984375" customWidth="1"/>
    <col min="11" max="11" width="16.453125" customWidth="1"/>
    <col min="12" max="12" width="14.90625" customWidth="1"/>
    <col min="13" max="13" width="17.1796875" customWidth="1"/>
    <col min="14" max="14" width="17.36328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6" t="s">
        <v>49</v>
      </c>
      <c r="N1" s="6" t="s">
        <v>44</v>
      </c>
    </row>
    <row r="2" spans="1:14" x14ac:dyDescent="0.35">
      <c r="A2" t="s">
        <v>12</v>
      </c>
      <c r="B2" t="s">
        <v>13</v>
      </c>
      <c r="C2" t="s">
        <v>14</v>
      </c>
      <c r="D2" t="s">
        <v>15</v>
      </c>
      <c r="E2" t="s">
        <v>16</v>
      </c>
      <c r="F2">
        <v>58</v>
      </c>
      <c r="G2">
        <v>6.54</v>
      </c>
      <c r="H2">
        <v>0.1</v>
      </c>
      <c r="I2">
        <v>0.82</v>
      </c>
      <c r="J2">
        <v>3.63</v>
      </c>
      <c r="K2">
        <v>0</v>
      </c>
      <c r="L2">
        <v>24.81</v>
      </c>
      <c r="M2">
        <f>SUM(F2*H2)</f>
        <v>5.8000000000000007</v>
      </c>
      <c r="N2">
        <f>SUM(I2*F2)</f>
        <v>47.559999999999995</v>
      </c>
    </row>
    <row r="3" spans="1:14" x14ac:dyDescent="0.35">
      <c r="A3" t="s">
        <v>12</v>
      </c>
      <c r="B3" t="s">
        <v>13</v>
      </c>
      <c r="C3" t="s">
        <v>14</v>
      </c>
      <c r="D3" t="s">
        <v>17</v>
      </c>
      <c r="E3" t="s">
        <v>16</v>
      </c>
      <c r="F3">
        <v>69</v>
      </c>
      <c r="G3">
        <v>5.38</v>
      </c>
      <c r="H3">
        <v>0.11</v>
      </c>
      <c r="I3">
        <v>0.75</v>
      </c>
      <c r="J3">
        <v>4.76</v>
      </c>
      <c r="K3">
        <v>2</v>
      </c>
      <c r="L3">
        <v>27.07</v>
      </c>
      <c r="M3">
        <f t="shared" ref="M3:M66" si="0">SUM(F3*H3)</f>
        <v>7.59</v>
      </c>
      <c r="N3">
        <f t="shared" ref="N3:N66" si="1">SUM(I3*F3)</f>
        <v>51.75</v>
      </c>
    </row>
    <row r="4" spans="1:14" x14ac:dyDescent="0.35">
      <c r="A4" t="s">
        <v>12</v>
      </c>
      <c r="B4" t="s">
        <v>13</v>
      </c>
      <c r="C4" t="s">
        <v>14</v>
      </c>
      <c r="D4" t="s">
        <v>18</v>
      </c>
      <c r="E4" t="s">
        <v>19</v>
      </c>
      <c r="F4">
        <v>50</v>
      </c>
      <c r="G4">
        <v>7.46</v>
      </c>
      <c r="H4">
        <v>0.05</v>
      </c>
      <c r="I4">
        <v>0.61</v>
      </c>
      <c r="J4">
        <v>4.18</v>
      </c>
      <c r="K4">
        <v>0</v>
      </c>
      <c r="L4">
        <v>26.19</v>
      </c>
      <c r="M4">
        <f t="shared" si="0"/>
        <v>2.5</v>
      </c>
      <c r="N4">
        <f t="shared" si="1"/>
        <v>30.5</v>
      </c>
    </row>
    <row r="5" spans="1:14" x14ac:dyDescent="0.35">
      <c r="A5" t="s">
        <v>12</v>
      </c>
      <c r="B5" t="s">
        <v>13</v>
      </c>
      <c r="C5" t="s">
        <v>20</v>
      </c>
      <c r="D5" t="s">
        <v>15</v>
      </c>
      <c r="E5" t="s">
        <v>19</v>
      </c>
      <c r="F5">
        <v>45</v>
      </c>
      <c r="G5">
        <v>7.54</v>
      </c>
      <c r="H5">
        <v>0.11</v>
      </c>
      <c r="I5">
        <v>0.76</v>
      </c>
      <c r="J5">
        <v>4.3</v>
      </c>
      <c r="K5">
        <v>0</v>
      </c>
      <c r="L5">
        <v>26.31</v>
      </c>
      <c r="M5">
        <f t="shared" si="0"/>
        <v>4.95</v>
      </c>
      <c r="N5">
        <f t="shared" si="1"/>
        <v>34.200000000000003</v>
      </c>
    </row>
    <row r="6" spans="1:14" x14ac:dyDescent="0.35">
      <c r="A6" t="s">
        <v>12</v>
      </c>
      <c r="B6" t="s">
        <v>13</v>
      </c>
      <c r="C6" t="s">
        <v>20</v>
      </c>
      <c r="D6" t="s">
        <v>17</v>
      </c>
      <c r="E6" t="s">
        <v>21</v>
      </c>
      <c r="F6">
        <v>32</v>
      </c>
      <c r="G6">
        <v>6.42</v>
      </c>
      <c r="H6">
        <v>0.08</v>
      </c>
      <c r="I6">
        <v>0.75</v>
      </c>
      <c r="J6">
        <v>4.72</v>
      </c>
      <c r="K6">
        <v>0</v>
      </c>
      <c r="L6">
        <v>24.63</v>
      </c>
      <c r="M6">
        <f t="shared" si="0"/>
        <v>2.56</v>
      </c>
      <c r="N6">
        <f t="shared" si="1"/>
        <v>24</v>
      </c>
    </row>
    <row r="7" spans="1:14" x14ac:dyDescent="0.35">
      <c r="A7" t="s">
        <v>12</v>
      </c>
      <c r="B7" t="s">
        <v>13</v>
      </c>
      <c r="C7" t="s">
        <v>20</v>
      </c>
      <c r="D7" t="s">
        <v>18</v>
      </c>
      <c r="E7" t="s">
        <v>16</v>
      </c>
      <c r="F7">
        <v>55</v>
      </c>
      <c r="G7">
        <v>6.83</v>
      </c>
      <c r="H7">
        <v>0.03</v>
      </c>
      <c r="I7">
        <v>0.77</v>
      </c>
      <c r="J7">
        <v>4.07</v>
      </c>
      <c r="K7">
        <v>0</v>
      </c>
      <c r="L7">
        <v>25.24</v>
      </c>
      <c r="M7">
        <f t="shared" si="0"/>
        <v>1.65</v>
      </c>
      <c r="N7">
        <f t="shared" si="1"/>
        <v>42.35</v>
      </c>
    </row>
    <row r="8" spans="1:14" x14ac:dyDescent="0.35">
      <c r="A8" t="s">
        <v>12</v>
      </c>
      <c r="B8" t="s">
        <v>13</v>
      </c>
      <c r="C8" t="s">
        <v>22</v>
      </c>
      <c r="D8" t="s">
        <v>15</v>
      </c>
      <c r="E8" t="s">
        <v>16</v>
      </c>
      <c r="F8">
        <v>76</v>
      </c>
      <c r="G8">
        <v>5.61</v>
      </c>
      <c r="H8">
        <v>0.04</v>
      </c>
      <c r="I8">
        <v>0.86</v>
      </c>
      <c r="J8">
        <v>4.05</v>
      </c>
      <c r="K8">
        <v>0</v>
      </c>
      <c r="L8">
        <v>23.42</v>
      </c>
      <c r="M8">
        <f t="shared" si="0"/>
        <v>3.04</v>
      </c>
      <c r="N8">
        <f t="shared" si="1"/>
        <v>65.36</v>
      </c>
    </row>
    <row r="9" spans="1:14" x14ac:dyDescent="0.35">
      <c r="A9" t="s">
        <v>12</v>
      </c>
      <c r="B9" t="s">
        <v>13</v>
      </c>
      <c r="C9" t="s">
        <v>22</v>
      </c>
      <c r="D9" t="s">
        <v>17</v>
      </c>
      <c r="E9" t="s">
        <v>16</v>
      </c>
      <c r="F9">
        <v>58</v>
      </c>
      <c r="G9">
        <v>4.84</v>
      </c>
      <c r="H9">
        <v>0.15</v>
      </c>
      <c r="I9">
        <v>0.87</v>
      </c>
      <c r="J9">
        <v>4.72</v>
      </c>
      <c r="K9">
        <v>2</v>
      </c>
      <c r="L9">
        <v>26.26</v>
      </c>
      <c r="M9">
        <f t="shared" si="0"/>
        <v>8.6999999999999993</v>
      </c>
      <c r="N9">
        <f t="shared" si="1"/>
        <v>50.46</v>
      </c>
    </row>
    <row r="10" spans="1:14" x14ac:dyDescent="0.35">
      <c r="A10" t="s">
        <v>12</v>
      </c>
      <c r="B10" t="s">
        <v>13</v>
      </c>
      <c r="C10" t="s">
        <v>22</v>
      </c>
      <c r="D10" t="s">
        <v>18</v>
      </c>
      <c r="E10" t="s">
        <v>16</v>
      </c>
      <c r="F10">
        <v>77</v>
      </c>
      <c r="G10">
        <v>6.75</v>
      </c>
      <c r="H10">
        <v>0.09</v>
      </c>
      <c r="I10">
        <v>0.84</v>
      </c>
      <c r="J10">
        <v>4.5999999999999996</v>
      </c>
      <c r="K10">
        <v>1</v>
      </c>
      <c r="L10">
        <v>27.12</v>
      </c>
      <c r="M10">
        <f t="shared" si="0"/>
        <v>6.93</v>
      </c>
      <c r="N10">
        <f t="shared" si="1"/>
        <v>64.679999999999993</v>
      </c>
    </row>
    <row r="11" spans="1:14" x14ac:dyDescent="0.35">
      <c r="A11" t="s">
        <v>12</v>
      </c>
      <c r="B11" t="s">
        <v>13</v>
      </c>
      <c r="C11" t="s">
        <v>23</v>
      </c>
      <c r="D11" t="s">
        <v>15</v>
      </c>
      <c r="E11" t="s">
        <v>16</v>
      </c>
      <c r="F11">
        <v>53</v>
      </c>
      <c r="G11">
        <v>4.16</v>
      </c>
      <c r="H11">
        <v>7.0000000000000007E-2</v>
      </c>
      <c r="I11">
        <v>0.79</v>
      </c>
      <c r="J11">
        <v>4.21</v>
      </c>
      <c r="K11">
        <v>0</v>
      </c>
      <c r="L11">
        <v>21.24</v>
      </c>
      <c r="M11">
        <f t="shared" si="0"/>
        <v>3.7100000000000004</v>
      </c>
      <c r="N11">
        <f t="shared" si="1"/>
        <v>41.870000000000005</v>
      </c>
    </row>
    <row r="12" spans="1:14" x14ac:dyDescent="0.35">
      <c r="A12" t="s">
        <v>12</v>
      </c>
      <c r="B12" t="s">
        <v>13</v>
      </c>
      <c r="C12" t="s">
        <v>23</v>
      </c>
      <c r="D12" t="s">
        <v>17</v>
      </c>
      <c r="E12" t="s">
        <v>21</v>
      </c>
      <c r="F12">
        <v>30</v>
      </c>
      <c r="G12">
        <v>5.96</v>
      </c>
      <c r="H12">
        <v>7.0000000000000007E-2</v>
      </c>
      <c r="I12">
        <v>0.79</v>
      </c>
      <c r="J12">
        <v>3.52</v>
      </c>
      <c r="K12">
        <v>0</v>
      </c>
      <c r="L12">
        <v>23.94</v>
      </c>
      <c r="M12">
        <f t="shared" si="0"/>
        <v>2.1</v>
      </c>
      <c r="N12">
        <f t="shared" si="1"/>
        <v>23.700000000000003</v>
      </c>
    </row>
    <row r="13" spans="1:14" x14ac:dyDescent="0.35">
      <c r="A13" t="s">
        <v>12</v>
      </c>
      <c r="B13" t="s">
        <v>13</v>
      </c>
      <c r="C13" t="s">
        <v>23</v>
      </c>
      <c r="D13" t="s">
        <v>18</v>
      </c>
      <c r="E13" t="s">
        <v>21</v>
      </c>
      <c r="F13">
        <v>64</v>
      </c>
      <c r="G13">
        <v>5.72</v>
      </c>
      <c r="H13">
        <v>0.12</v>
      </c>
      <c r="I13">
        <v>0.62</v>
      </c>
      <c r="J13">
        <v>3.97</v>
      </c>
      <c r="K13">
        <v>0</v>
      </c>
      <c r="L13">
        <v>23.58</v>
      </c>
      <c r="M13">
        <f t="shared" si="0"/>
        <v>7.68</v>
      </c>
      <c r="N13">
        <f t="shared" si="1"/>
        <v>39.68</v>
      </c>
    </row>
    <row r="14" spans="1:14" x14ac:dyDescent="0.35">
      <c r="A14" t="s">
        <v>12</v>
      </c>
      <c r="B14" t="s">
        <v>13</v>
      </c>
      <c r="C14" t="s">
        <v>24</v>
      </c>
      <c r="D14" t="s">
        <v>15</v>
      </c>
      <c r="E14" t="s">
        <v>21</v>
      </c>
      <c r="F14">
        <v>37</v>
      </c>
      <c r="G14">
        <v>5.0999999999999996</v>
      </c>
      <c r="H14">
        <v>7.0000000000000007E-2</v>
      </c>
      <c r="I14">
        <v>0.85</v>
      </c>
      <c r="J14">
        <v>4.37</v>
      </c>
      <c r="K14">
        <v>0</v>
      </c>
      <c r="L14">
        <v>22.65</v>
      </c>
      <c r="M14">
        <f t="shared" si="0"/>
        <v>2.5900000000000003</v>
      </c>
      <c r="N14">
        <f t="shared" si="1"/>
        <v>31.45</v>
      </c>
    </row>
    <row r="15" spans="1:14" x14ac:dyDescent="0.35">
      <c r="A15" t="s">
        <v>12</v>
      </c>
      <c r="B15" t="s">
        <v>13</v>
      </c>
      <c r="C15" t="s">
        <v>24</v>
      </c>
      <c r="D15" t="s">
        <v>17</v>
      </c>
      <c r="E15" t="s">
        <v>19</v>
      </c>
      <c r="F15">
        <v>64</v>
      </c>
      <c r="G15">
        <v>5.89</v>
      </c>
      <c r="H15">
        <v>0.17</v>
      </c>
      <c r="I15">
        <v>0.77</v>
      </c>
      <c r="J15">
        <v>4.43</v>
      </c>
      <c r="K15">
        <v>1</v>
      </c>
      <c r="L15">
        <v>25.84</v>
      </c>
      <c r="M15">
        <f t="shared" si="0"/>
        <v>10.88</v>
      </c>
      <c r="N15">
        <f t="shared" si="1"/>
        <v>49.28</v>
      </c>
    </row>
    <row r="16" spans="1:14" x14ac:dyDescent="0.35">
      <c r="A16" t="s">
        <v>12</v>
      </c>
      <c r="B16" t="s">
        <v>13</v>
      </c>
      <c r="C16" t="s">
        <v>24</v>
      </c>
      <c r="D16" t="s">
        <v>18</v>
      </c>
      <c r="E16" t="s">
        <v>16</v>
      </c>
      <c r="F16">
        <v>43</v>
      </c>
      <c r="G16">
        <v>9.3699999999999992</v>
      </c>
      <c r="H16">
        <v>0.08</v>
      </c>
      <c r="I16">
        <v>0.61</v>
      </c>
      <c r="J16">
        <v>3.64</v>
      </c>
      <c r="K16">
        <v>0</v>
      </c>
      <c r="L16">
        <v>29.06</v>
      </c>
      <c r="M16">
        <f t="shared" si="0"/>
        <v>3.44</v>
      </c>
      <c r="N16">
        <f t="shared" si="1"/>
        <v>26.23</v>
      </c>
    </row>
    <row r="17" spans="1:14" x14ac:dyDescent="0.35">
      <c r="A17" t="s">
        <v>12</v>
      </c>
      <c r="B17" t="s">
        <v>25</v>
      </c>
      <c r="C17" t="s">
        <v>14</v>
      </c>
      <c r="D17" t="s">
        <v>15</v>
      </c>
      <c r="E17" t="s">
        <v>16</v>
      </c>
      <c r="F17">
        <v>61</v>
      </c>
      <c r="G17">
        <v>5.08</v>
      </c>
      <c r="H17">
        <v>0.11</v>
      </c>
      <c r="I17">
        <v>0.77</v>
      </c>
      <c r="J17">
        <v>4.29</v>
      </c>
      <c r="K17">
        <v>0</v>
      </c>
      <c r="L17">
        <v>22.62</v>
      </c>
      <c r="M17">
        <f t="shared" si="0"/>
        <v>6.71</v>
      </c>
      <c r="N17">
        <f t="shared" si="1"/>
        <v>46.97</v>
      </c>
    </row>
    <row r="18" spans="1:14" x14ac:dyDescent="0.35">
      <c r="A18" t="s">
        <v>12</v>
      </c>
      <c r="B18" t="s">
        <v>25</v>
      </c>
      <c r="C18" t="s">
        <v>14</v>
      </c>
      <c r="D18" t="s">
        <v>17</v>
      </c>
      <c r="E18" t="s">
        <v>19</v>
      </c>
      <c r="F18">
        <v>42</v>
      </c>
      <c r="G18">
        <v>5.79</v>
      </c>
      <c r="H18">
        <v>0.09</v>
      </c>
      <c r="I18">
        <v>0.89</v>
      </c>
      <c r="J18">
        <v>4.55</v>
      </c>
      <c r="K18">
        <v>1</v>
      </c>
      <c r="L18">
        <v>25.68</v>
      </c>
      <c r="M18">
        <f t="shared" si="0"/>
        <v>3.78</v>
      </c>
      <c r="N18">
        <f t="shared" si="1"/>
        <v>37.380000000000003</v>
      </c>
    </row>
    <row r="19" spans="1:14" x14ac:dyDescent="0.35">
      <c r="A19" t="s">
        <v>12</v>
      </c>
      <c r="B19" t="s">
        <v>25</v>
      </c>
      <c r="C19" t="s">
        <v>14</v>
      </c>
      <c r="D19" t="s">
        <v>18</v>
      </c>
      <c r="E19" t="s">
        <v>21</v>
      </c>
      <c r="F19">
        <v>57</v>
      </c>
      <c r="G19">
        <v>5.57</v>
      </c>
      <c r="H19">
        <v>0.05</v>
      </c>
      <c r="I19">
        <v>0.7</v>
      </c>
      <c r="J19">
        <v>4.6500000000000004</v>
      </c>
      <c r="K19">
        <v>0</v>
      </c>
      <c r="L19">
        <v>23.36</v>
      </c>
      <c r="M19">
        <f t="shared" si="0"/>
        <v>2.85</v>
      </c>
      <c r="N19">
        <f t="shared" si="1"/>
        <v>39.9</v>
      </c>
    </row>
    <row r="20" spans="1:14" x14ac:dyDescent="0.35">
      <c r="A20" t="s">
        <v>12</v>
      </c>
      <c r="B20" t="s">
        <v>25</v>
      </c>
      <c r="C20" t="s">
        <v>20</v>
      </c>
      <c r="D20" t="s">
        <v>15</v>
      </c>
      <c r="E20" t="s">
        <v>19</v>
      </c>
      <c r="F20">
        <v>54</v>
      </c>
      <c r="G20">
        <v>5.3</v>
      </c>
      <c r="H20">
        <v>0.11</v>
      </c>
      <c r="I20">
        <v>0.81</v>
      </c>
      <c r="J20">
        <v>4.5599999999999996</v>
      </c>
      <c r="K20">
        <v>2</v>
      </c>
      <c r="L20">
        <v>26.95</v>
      </c>
      <c r="M20">
        <f t="shared" si="0"/>
        <v>5.94</v>
      </c>
      <c r="N20">
        <f t="shared" si="1"/>
        <v>43.74</v>
      </c>
    </row>
    <row r="21" spans="1:14" x14ac:dyDescent="0.35">
      <c r="A21" t="s">
        <v>12</v>
      </c>
      <c r="B21" t="s">
        <v>25</v>
      </c>
      <c r="C21" t="s">
        <v>20</v>
      </c>
      <c r="D21" t="s">
        <v>17</v>
      </c>
      <c r="E21" t="s">
        <v>19</v>
      </c>
      <c r="F21">
        <v>37</v>
      </c>
      <c r="G21">
        <v>5.67</v>
      </c>
      <c r="H21">
        <v>0.18</v>
      </c>
      <c r="I21">
        <v>0.82</v>
      </c>
      <c r="J21">
        <v>4.4000000000000004</v>
      </c>
      <c r="K21">
        <v>0</v>
      </c>
      <c r="L21">
        <v>23.5</v>
      </c>
      <c r="M21">
        <f t="shared" si="0"/>
        <v>6.66</v>
      </c>
      <c r="N21">
        <f t="shared" si="1"/>
        <v>30.34</v>
      </c>
    </row>
    <row r="22" spans="1:14" x14ac:dyDescent="0.35">
      <c r="A22" t="s">
        <v>12</v>
      </c>
      <c r="B22" t="s">
        <v>25</v>
      </c>
      <c r="C22" t="s">
        <v>20</v>
      </c>
      <c r="D22" t="s">
        <v>18</v>
      </c>
      <c r="E22" t="s">
        <v>19</v>
      </c>
      <c r="F22">
        <v>61</v>
      </c>
      <c r="G22">
        <v>7.89</v>
      </c>
      <c r="H22">
        <v>0.14000000000000001</v>
      </c>
      <c r="I22">
        <v>0.84</v>
      </c>
      <c r="J22">
        <v>4.75</v>
      </c>
      <c r="K22">
        <v>0</v>
      </c>
      <c r="L22">
        <v>26.84</v>
      </c>
      <c r="M22">
        <f t="shared" si="0"/>
        <v>8.5400000000000009</v>
      </c>
      <c r="N22">
        <f t="shared" si="1"/>
        <v>51.239999999999995</v>
      </c>
    </row>
    <row r="23" spans="1:14" x14ac:dyDescent="0.35">
      <c r="A23" t="s">
        <v>12</v>
      </c>
      <c r="B23" t="s">
        <v>25</v>
      </c>
      <c r="C23" t="s">
        <v>22</v>
      </c>
      <c r="D23" t="s">
        <v>15</v>
      </c>
      <c r="E23" t="s">
        <v>16</v>
      </c>
      <c r="F23">
        <v>78</v>
      </c>
      <c r="G23">
        <v>6.17</v>
      </c>
      <c r="H23">
        <v>0.04</v>
      </c>
      <c r="I23">
        <v>0.9</v>
      </c>
      <c r="J23">
        <v>3.85</v>
      </c>
      <c r="K23">
        <v>3</v>
      </c>
      <c r="L23">
        <v>30.26</v>
      </c>
      <c r="M23">
        <f t="shared" si="0"/>
        <v>3.12</v>
      </c>
      <c r="N23">
        <f t="shared" si="1"/>
        <v>70.2</v>
      </c>
    </row>
    <row r="24" spans="1:14" x14ac:dyDescent="0.35">
      <c r="A24" t="s">
        <v>12</v>
      </c>
      <c r="B24" t="s">
        <v>25</v>
      </c>
      <c r="C24" t="s">
        <v>22</v>
      </c>
      <c r="D24" t="s">
        <v>17</v>
      </c>
      <c r="E24" t="s">
        <v>16</v>
      </c>
      <c r="F24">
        <v>52</v>
      </c>
      <c r="G24">
        <v>6.48</v>
      </c>
      <c r="H24">
        <v>0.05</v>
      </c>
      <c r="I24">
        <v>0.77</v>
      </c>
      <c r="J24">
        <v>4.1399999999999997</v>
      </c>
      <c r="K24">
        <v>3</v>
      </c>
      <c r="L24">
        <v>30.72</v>
      </c>
      <c r="M24">
        <f t="shared" si="0"/>
        <v>2.6</v>
      </c>
      <c r="N24">
        <f t="shared" si="1"/>
        <v>40.04</v>
      </c>
    </row>
    <row r="25" spans="1:14" x14ac:dyDescent="0.35">
      <c r="A25" t="s">
        <v>12</v>
      </c>
      <c r="B25" t="s">
        <v>25</v>
      </c>
      <c r="C25" t="s">
        <v>22</v>
      </c>
      <c r="D25" t="s">
        <v>18</v>
      </c>
      <c r="E25" t="s">
        <v>19</v>
      </c>
      <c r="F25">
        <v>33</v>
      </c>
      <c r="G25">
        <v>5.74</v>
      </c>
      <c r="H25">
        <v>7.0000000000000007E-2</v>
      </c>
      <c r="I25">
        <v>0.69</v>
      </c>
      <c r="J25">
        <v>3.81</v>
      </c>
      <c r="K25">
        <v>2</v>
      </c>
      <c r="L25">
        <v>27.61</v>
      </c>
      <c r="M25">
        <f t="shared" si="0"/>
        <v>2.31</v>
      </c>
      <c r="N25">
        <f t="shared" si="1"/>
        <v>22.77</v>
      </c>
    </row>
    <row r="26" spans="1:14" x14ac:dyDescent="0.35">
      <c r="A26" t="s">
        <v>12</v>
      </c>
      <c r="B26" t="s">
        <v>25</v>
      </c>
      <c r="C26" t="s">
        <v>23</v>
      </c>
      <c r="D26" t="s">
        <v>15</v>
      </c>
      <c r="E26" t="s">
        <v>16</v>
      </c>
      <c r="F26">
        <v>63</v>
      </c>
      <c r="G26">
        <v>6.59</v>
      </c>
      <c r="H26">
        <v>0.03</v>
      </c>
      <c r="I26">
        <v>0.88</v>
      </c>
      <c r="J26">
        <v>3.92</v>
      </c>
      <c r="K26">
        <v>0</v>
      </c>
      <c r="L26">
        <v>24.88</v>
      </c>
      <c r="M26">
        <f t="shared" si="0"/>
        <v>1.89</v>
      </c>
      <c r="N26">
        <f t="shared" si="1"/>
        <v>55.44</v>
      </c>
    </row>
    <row r="27" spans="1:14" x14ac:dyDescent="0.35">
      <c r="A27" t="s">
        <v>12</v>
      </c>
      <c r="B27" t="s">
        <v>25</v>
      </c>
      <c r="C27" t="s">
        <v>23</v>
      </c>
      <c r="D27" t="s">
        <v>17</v>
      </c>
      <c r="E27" t="s">
        <v>19</v>
      </c>
      <c r="F27">
        <v>49</v>
      </c>
      <c r="G27">
        <v>8.19</v>
      </c>
      <c r="H27">
        <v>0.13</v>
      </c>
      <c r="I27">
        <v>0.78</v>
      </c>
      <c r="J27">
        <v>4.42</v>
      </c>
      <c r="K27">
        <v>2</v>
      </c>
      <c r="L27">
        <v>31.28</v>
      </c>
      <c r="M27">
        <f t="shared" si="0"/>
        <v>6.37</v>
      </c>
      <c r="N27">
        <f t="shared" si="1"/>
        <v>38.22</v>
      </c>
    </row>
    <row r="28" spans="1:14" x14ac:dyDescent="0.35">
      <c r="A28" t="s">
        <v>12</v>
      </c>
      <c r="B28" t="s">
        <v>25</v>
      </c>
      <c r="C28" t="s">
        <v>23</v>
      </c>
      <c r="D28" t="s">
        <v>18</v>
      </c>
      <c r="E28" t="s">
        <v>16</v>
      </c>
      <c r="F28">
        <v>36</v>
      </c>
      <c r="G28">
        <v>6.54</v>
      </c>
      <c r="H28">
        <v>7.0000000000000007E-2</v>
      </c>
      <c r="I28">
        <v>0.83</v>
      </c>
      <c r="J28">
        <v>3.68</v>
      </c>
      <c r="K28">
        <v>0</v>
      </c>
      <c r="L28">
        <v>24.81</v>
      </c>
      <c r="M28">
        <f t="shared" si="0"/>
        <v>2.5200000000000005</v>
      </c>
      <c r="N28">
        <f t="shared" si="1"/>
        <v>29.88</v>
      </c>
    </row>
    <row r="29" spans="1:14" x14ac:dyDescent="0.35">
      <c r="A29" t="s">
        <v>12</v>
      </c>
      <c r="B29" t="s">
        <v>25</v>
      </c>
      <c r="C29" t="s">
        <v>24</v>
      </c>
      <c r="D29" t="s">
        <v>15</v>
      </c>
      <c r="E29" t="s">
        <v>19</v>
      </c>
      <c r="F29">
        <v>52</v>
      </c>
      <c r="G29">
        <v>5.09</v>
      </c>
      <c r="H29">
        <v>0.19</v>
      </c>
      <c r="I29">
        <v>0.85</v>
      </c>
      <c r="J29">
        <v>3.8</v>
      </c>
      <c r="K29">
        <v>0</v>
      </c>
      <c r="L29">
        <v>22.64</v>
      </c>
      <c r="M29">
        <f t="shared" si="0"/>
        <v>9.8800000000000008</v>
      </c>
      <c r="N29">
        <f t="shared" si="1"/>
        <v>44.199999999999996</v>
      </c>
    </row>
    <row r="30" spans="1:14" x14ac:dyDescent="0.35">
      <c r="A30" t="s">
        <v>12</v>
      </c>
      <c r="B30" t="s">
        <v>25</v>
      </c>
      <c r="C30" t="s">
        <v>24</v>
      </c>
      <c r="D30" t="s">
        <v>17</v>
      </c>
      <c r="E30" t="s">
        <v>21</v>
      </c>
      <c r="F30">
        <v>78</v>
      </c>
      <c r="G30">
        <v>5.68</v>
      </c>
      <c r="H30">
        <v>0.14000000000000001</v>
      </c>
      <c r="I30">
        <v>0.89</v>
      </c>
      <c r="J30">
        <v>4.32</v>
      </c>
      <c r="K30">
        <v>0</v>
      </c>
      <c r="L30">
        <v>23.52</v>
      </c>
      <c r="M30">
        <f t="shared" si="0"/>
        <v>10.920000000000002</v>
      </c>
      <c r="N30">
        <f t="shared" si="1"/>
        <v>69.42</v>
      </c>
    </row>
    <row r="31" spans="1:14" x14ac:dyDescent="0.35">
      <c r="A31" t="s">
        <v>12</v>
      </c>
      <c r="B31" t="s">
        <v>25</v>
      </c>
      <c r="C31" t="s">
        <v>24</v>
      </c>
      <c r="D31" t="s">
        <v>18</v>
      </c>
      <c r="E31" t="s">
        <v>16</v>
      </c>
      <c r="F31">
        <v>77</v>
      </c>
      <c r="G31">
        <v>5.79</v>
      </c>
      <c r="H31">
        <v>0.13</v>
      </c>
      <c r="I31">
        <v>0.81</v>
      </c>
      <c r="J31">
        <v>4.03</v>
      </c>
      <c r="K31">
        <v>2</v>
      </c>
      <c r="L31">
        <v>27.68</v>
      </c>
      <c r="M31">
        <f t="shared" si="0"/>
        <v>10.01</v>
      </c>
      <c r="N31">
        <f t="shared" si="1"/>
        <v>62.370000000000005</v>
      </c>
    </row>
    <row r="32" spans="1:14" x14ac:dyDescent="0.35">
      <c r="A32" t="s">
        <v>12</v>
      </c>
      <c r="B32" t="s">
        <v>26</v>
      </c>
      <c r="C32" t="s">
        <v>14</v>
      </c>
      <c r="D32" t="s">
        <v>15</v>
      </c>
      <c r="E32" t="s">
        <v>21</v>
      </c>
      <c r="F32">
        <v>78</v>
      </c>
      <c r="G32">
        <v>6.29</v>
      </c>
      <c r="H32">
        <v>0.02</v>
      </c>
      <c r="I32">
        <v>0.77</v>
      </c>
      <c r="J32">
        <v>4.21</v>
      </c>
      <c r="K32">
        <v>1</v>
      </c>
      <c r="L32">
        <v>26.44</v>
      </c>
      <c r="M32">
        <f t="shared" si="0"/>
        <v>1.56</v>
      </c>
      <c r="N32">
        <f t="shared" si="1"/>
        <v>60.06</v>
      </c>
    </row>
    <row r="33" spans="1:14" x14ac:dyDescent="0.35">
      <c r="A33" t="s">
        <v>12</v>
      </c>
      <c r="B33" t="s">
        <v>26</v>
      </c>
      <c r="C33" t="s">
        <v>14</v>
      </c>
      <c r="D33" t="s">
        <v>17</v>
      </c>
      <c r="E33" t="s">
        <v>16</v>
      </c>
      <c r="F33">
        <v>70</v>
      </c>
      <c r="G33">
        <v>5.29</v>
      </c>
      <c r="H33">
        <v>0.04</v>
      </c>
      <c r="I33">
        <v>0.75</v>
      </c>
      <c r="J33">
        <v>4.1399999999999997</v>
      </c>
      <c r="K33">
        <v>0</v>
      </c>
      <c r="L33">
        <v>22.94</v>
      </c>
      <c r="M33">
        <f t="shared" si="0"/>
        <v>2.8000000000000003</v>
      </c>
      <c r="N33">
        <f t="shared" si="1"/>
        <v>52.5</v>
      </c>
    </row>
    <row r="34" spans="1:14" x14ac:dyDescent="0.35">
      <c r="A34" t="s">
        <v>12</v>
      </c>
      <c r="B34" t="s">
        <v>26</v>
      </c>
      <c r="C34" t="s">
        <v>14</v>
      </c>
      <c r="D34" t="s">
        <v>18</v>
      </c>
      <c r="E34" t="s">
        <v>16</v>
      </c>
      <c r="F34">
        <v>37</v>
      </c>
      <c r="G34">
        <v>6.42</v>
      </c>
      <c r="H34">
        <v>0.09</v>
      </c>
      <c r="I34">
        <v>0.62</v>
      </c>
      <c r="J34">
        <v>3.98</v>
      </c>
      <c r="K34">
        <v>0</v>
      </c>
      <c r="L34">
        <v>24.63</v>
      </c>
      <c r="M34">
        <f t="shared" si="0"/>
        <v>3.33</v>
      </c>
      <c r="N34">
        <f t="shared" si="1"/>
        <v>22.94</v>
      </c>
    </row>
    <row r="35" spans="1:14" x14ac:dyDescent="0.35">
      <c r="A35" t="s">
        <v>12</v>
      </c>
      <c r="B35" t="s">
        <v>26</v>
      </c>
      <c r="C35" t="s">
        <v>20</v>
      </c>
      <c r="D35" t="s">
        <v>15</v>
      </c>
      <c r="E35" t="s">
        <v>19</v>
      </c>
      <c r="F35">
        <v>67</v>
      </c>
      <c r="G35">
        <v>6.94</v>
      </c>
      <c r="H35">
        <v>0.28999999999999998</v>
      </c>
      <c r="I35">
        <v>0.82</v>
      </c>
      <c r="J35">
        <v>4.68</v>
      </c>
      <c r="K35">
        <v>0</v>
      </c>
      <c r="L35">
        <v>25.41</v>
      </c>
      <c r="M35">
        <f t="shared" si="0"/>
        <v>19.43</v>
      </c>
      <c r="N35">
        <f t="shared" si="1"/>
        <v>54.94</v>
      </c>
    </row>
    <row r="36" spans="1:14" x14ac:dyDescent="0.35">
      <c r="A36" t="s">
        <v>12</v>
      </c>
      <c r="B36" t="s">
        <v>26</v>
      </c>
      <c r="C36" t="s">
        <v>20</v>
      </c>
      <c r="D36" t="s">
        <v>17</v>
      </c>
      <c r="E36" t="s">
        <v>16</v>
      </c>
      <c r="F36">
        <v>62</v>
      </c>
      <c r="G36">
        <v>5.74</v>
      </c>
      <c r="H36">
        <v>0.05</v>
      </c>
      <c r="I36">
        <v>0.86</v>
      </c>
      <c r="J36">
        <v>3.87</v>
      </c>
      <c r="K36">
        <v>0</v>
      </c>
      <c r="L36">
        <v>23.61</v>
      </c>
      <c r="M36">
        <f t="shared" si="0"/>
        <v>3.1</v>
      </c>
      <c r="N36">
        <f t="shared" si="1"/>
        <v>53.32</v>
      </c>
    </row>
    <row r="37" spans="1:14" x14ac:dyDescent="0.35">
      <c r="A37" t="s">
        <v>12</v>
      </c>
      <c r="B37" t="s">
        <v>26</v>
      </c>
      <c r="C37" t="s">
        <v>20</v>
      </c>
      <c r="D37" t="s">
        <v>18</v>
      </c>
      <c r="E37" t="s">
        <v>16</v>
      </c>
      <c r="F37">
        <v>46</v>
      </c>
      <c r="G37">
        <v>8.7200000000000006</v>
      </c>
      <c r="H37">
        <v>0.15</v>
      </c>
      <c r="I37">
        <v>0.72</v>
      </c>
      <c r="J37">
        <v>3.86</v>
      </c>
      <c r="K37">
        <v>2</v>
      </c>
      <c r="L37">
        <v>32.08</v>
      </c>
      <c r="M37">
        <f t="shared" si="0"/>
        <v>6.8999999999999995</v>
      </c>
      <c r="N37">
        <f t="shared" si="1"/>
        <v>33.119999999999997</v>
      </c>
    </row>
    <row r="38" spans="1:14" x14ac:dyDescent="0.35">
      <c r="A38" t="s">
        <v>12</v>
      </c>
      <c r="B38" t="s">
        <v>26</v>
      </c>
      <c r="C38" t="s">
        <v>22</v>
      </c>
      <c r="D38" t="s">
        <v>15</v>
      </c>
      <c r="E38" t="s">
        <v>21</v>
      </c>
      <c r="F38">
        <v>66</v>
      </c>
      <c r="G38">
        <v>5.88</v>
      </c>
      <c r="H38">
        <v>0.15</v>
      </c>
      <c r="I38">
        <v>0.89</v>
      </c>
      <c r="J38">
        <v>4.6100000000000003</v>
      </c>
      <c r="K38">
        <v>0</v>
      </c>
      <c r="L38">
        <v>23.82</v>
      </c>
      <c r="M38">
        <f t="shared" si="0"/>
        <v>9.9</v>
      </c>
      <c r="N38">
        <f t="shared" si="1"/>
        <v>58.74</v>
      </c>
    </row>
    <row r="39" spans="1:14" x14ac:dyDescent="0.35">
      <c r="A39" t="s">
        <v>12</v>
      </c>
      <c r="B39" t="s">
        <v>26</v>
      </c>
      <c r="C39" t="s">
        <v>22</v>
      </c>
      <c r="D39" t="s">
        <v>17</v>
      </c>
      <c r="E39" t="s">
        <v>16</v>
      </c>
      <c r="F39">
        <v>52</v>
      </c>
      <c r="G39">
        <v>6.74</v>
      </c>
      <c r="H39">
        <v>0.05</v>
      </c>
      <c r="I39">
        <v>0.82</v>
      </c>
      <c r="J39">
        <v>3.98</v>
      </c>
      <c r="K39">
        <v>0</v>
      </c>
      <c r="L39">
        <v>25.11</v>
      </c>
      <c r="M39">
        <f t="shared" si="0"/>
        <v>2.6</v>
      </c>
      <c r="N39">
        <f t="shared" si="1"/>
        <v>42.64</v>
      </c>
    </row>
    <row r="40" spans="1:14" x14ac:dyDescent="0.35">
      <c r="A40" t="s">
        <v>12</v>
      </c>
      <c r="B40" t="s">
        <v>26</v>
      </c>
      <c r="C40" t="s">
        <v>22</v>
      </c>
      <c r="D40" t="s">
        <v>18</v>
      </c>
      <c r="E40" t="s">
        <v>21</v>
      </c>
      <c r="F40">
        <v>32</v>
      </c>
      <c r="G40">
        <v>5.12</v>
      </c>
      <c r="H40">
        <v>0.1</v>
      </c>
      <c r="I40">
        <v>0.85</v>
      </c>
      <c r="J40">
        <v>3.68</v>
      </c>
      <c r="K40">
        <v>0</v>
      </c>
      <c r="L40">
        <v>22.68</v>
      </c>
      <c r="M40">
        <f t="shared" si="0"/>
        <v>3.2</v>
      </c>
      <c r="N40">
        <f t="shared" si="1"/>
        <v>27.2</v>
      </c>
    </row>
    <row r="41" spans="1:14" x14ac:dyDescent="0.35">
      <c r="A41" t="s">
        <v>12</v>
      </c>
      <c r="B41" t="s">
        <v>26</v>
      </c>
      <c r="C41" t="s">
        <v>23</v>
      </c>
      <c r="D41" t="s">
        <v>15</v>
      </c>
      <c r="E41" t="s">
        <v>21</v>
      </c>
      <c r="F41">
        <v>46</v>
      </c>
      <c r="G41">
        <v>6.15</v>
      </c>
      <c r="H41">
        <v>0.13</v>
      </c>
      <c r="I41">
        <v>0.77</v>
      </c>
      <c r="J41">
        <v>4.42</v>
      </c>
      <c r="K41">
        <v>0</v>
      </c>
      <c r="L41">
        <v>24.22</v>
      </c>
      <c r="M41">
        <f t="shared" si="0"/>
        <v>5.98</v>
      </c>
      <c r="N41">
        <f t="shared" si="1"/>
        <v>35.42</v>
      </c>
    </row>
    <row r="42" spans="1:14" x14ac:dyDescent="0.35">
      <c r="A42" t="s">
        <v>12</v>
      </c>
      <c r="B42" t="s">
        <v>26</v>
      </c>
      <c r="C42" t="s">
        <v>23</v>
      </c>
      <c r="D42" t="s">
        <v>17</v>
      </c>
      <c r="E42" t="s">
        <v>19</v>
      </c>
      <c r="F42">
        <v>55</v>
      </c>
      <c r="G42">
        <v>6.3</v>
      </c>
      <c r="H42">
        <v>0.28000000000000003</v>
      </c>
      <c r="I42">
        <v>0.83</v>
      </c>
      <c r="J42">
        <v>4.1500000000000004</v>
      </c>
      <c r="K42">
        <v>1</v>
      </c>
      <c r="L42">
        <v>26.45</v>
      </c>
      <c r="M42">
        <f t="shared" si="0"/>
        <v>15.400000000000002</v>
      </c>
      <c r="N42">
        <f t="shared" si="1"/>
        <v>45.65</v>
      </c>
    </row>
    <row r="43" spans="1:14" x14ac:dyDescent="0.35">
      <c r="A43" t="s">
        <v>12</v>
      </c>
      <c r="B43" t="s">
        <v>26</v>
      </c>
      <c r="C43" t="s">
        <v>23</v>
      </c>
      <c r="D43" t="s">
        <v>18</v>
      </c>
      <c r="E43" t="s">
        <v>16</v>
      </c>
      <c r="F43">
        <v>75</v>
      </c>
      <c r="G43">
        <v>6.26</v>
      </c>
      <c r="H43">
        <v>0.12</v>
      </c>
      <c r="I43">
        <v>0.82</v>
      </c>
      <c r="J43">
        <v>3.94</v>
      </c>
      <c r="K43">
        <v>0</v>
      </c>
      <c r="L43">
        <v>24.39</v>
      </c>
      <c r="M43">
        <f t="shared" si="0"/>
        <v>9</v>
      </c>
      <c r="N43">
        <f t="shared" si="1"/>
        <v>61.499999999999993</v>
      </c>
    </row>
    <row r="44" spans="1:14" x14ac:dyDescent="0.35">
      <c r="A44" t="s">
        <v>12</v>
      </c>
      <c r="B44" t="s">
        <v>26</v>
      </c>
      <c r="C44" t="s">
        <v>24</v>
      </c>
      <c r="D44" t="s">
        <v>15</v>
      </c>
      <c r="E44" t="s">
        <v>19</v>
      </c>
      <c r="F44">
        <v>52</v>
      </c>
      <c r="G44">
        <v>4.8</v>
      </c>
      <c r="H44">
        <v>0.09</v>
      </c>
      <c r="I44">
        <v>0.9</v>
      </c>
      <c r="J44">
        <v>4.59</v>
      </c>
      <c r="K44">
        <v>2</v>
      </c>
      <c r="L44">
        <v>26.2</v>
      </c>
      <c r="M44">
        <f t="shared" si="0"/>
        <v>4.68</v>
      </c>
      <c r="N44">
        <f t="shared" si="1"/>
        <v>46.800000000000004</v>
      </c>
    </row>
    <row r="45" spans="1:14" x14ac:dyDescent="0.35">
      <c r="A45" t="s">
        <v>12</v>
      </c>
      <c r="B45" t="s">
        <v>26</v>
      </c>
      <c r="C45" t="s">
        <v>24</v>
      </c>
      <c r="D45" t="s">
        <v>17</v>
      </c>
      <c r="E45" t="s">
        <v>19</v>
      </c>
      <c r="F45">
        <v>71</v>
      </c>
      <c r="G45">
        <v>7.2</v>
      </c>
      <c r="H45">
        <v>0.26</v>
      </c>
      <c r="I45">
        <v>0.8</v>
      </c>
      <c r="J45">
        <v>3.67</v>
      </c>
      <c r="K45">
        <v>0</v>
      </c>
      <c r="L45">
        <v>25.8</v>
      </c>
      <c r="M45">
        <f t="shared" si="0"/>
        <v>18.46</v>
      </c>
      <c r="N45">
        <f t="shared" si="1"/>
        <v>56.800000000000004</v>
      </c>
    </row>
    <row r="46" spans="1:14" x14ac:dyDescent="0.35">
      <c r="A46" t="s">
        <v>12</v>
      </c>
      <c r="B46" t="s">
        <v>26</v>
      </c>
      <c r="C46" t="s">
        <v>24</v>
      </c>
      <c r="D46" t="s">
        <v>18</v>
      </c>
      <c r="E46" t="s">
        <v>21</v>
      </c>
      <c r="F46">
        <v>73</v>
      </c>
      <c r="G46">
        <v>5.95</v>
      </c>
      <c r="H46">
        <v>0.13</v>
      </c>
      <c r="I46">
        <v>0.65</v>
      </c>
      <c r="J46">
        <v>4.03</v>
      </c>
      <c r="K46">
        <v>1</v>
      </c>
      <c r="L46">
        <v>25.92</v>
      </c>
      <c r="M46">
        <f t="shared" si="0"/>
        <v>9.49</v>
      </c>
      <c r="N46">
        <f t="shared" si="1"/>
        <v>47.45</v>
      </c>
    </row>
    <row r="47" spans="1:14" x14ac:dyDescent="0.35">
      <c r="A47" t="s">
        <v>12</v>
      </c>
      <c r="B47" t="s">
        <v>27</v>
      </c>
      <c r="C47" t="s">
        <v>14</v>
      </c>
      <c r="D47" t="s">
        <v>15</v>
      </c>
      <c r="E47" t="s">
        <v>19</v>
      </c>
      <c r="F47">
        <v>45</v>
      </c>
      <c r="G47">
        <v>6.52</v>
      </c>
      <c r="H47">
        <v>0.28999999999999998</v>
      </c>
      <c r="I47">
        <v>0.83</v>
      </c>
      <c r="J47">
        <v>3.92</v>
      </c>
      <c r="K47">
        <v>1</v>
      </c>
      <c r="L47">
        <v>26.78</v>
      </c>
      <c r="M47">
        <f t="shared" si="0"/>
        <v>13.049999999999999</v>
      </c>
      <c r="N47">
        <f t="shared" si="1"/>
        <v>37.35</v>
      </c>
    </row>
    <row r="48" spans="1:14" x14ac:dyDescent="0.35">
      <c r="A48" t="s">
        <v>12</v>
      </c>
      <c r="B48" t="s">
        <v>27</v>
      </c>
      <c r="C48" t="s">
        <v>14</v>
      </c>
      <c r="D48" t="s">
        <v>17</v>
      </c>
      <c r="E48" t="s">
        <v>19</v>
      </c>
      <c r="F48">
        <v>57</v>
      </c>
      <c r="G48">
        <v>5.14</v>
      </c>
      <c r="H48">
        <v>0.1</v>
      </c>
      <c r="I48">
        <v>0.76</v>
      </c>
      <c r="J48">
        <v>4.0599999999999996</v>
      </c>
      <c r="K48">
        <v>1</v>
      </c>
      <c r="L48">
        <v>24.71</v>
      </c>
      <c r="M48">
        <f t="shared" si="0"/>
        <v>5.7</v>
      </c>
      <c r="N48">
        <f t="shared" si="1"/>
        <v>43.32</v>
      </c>
    </row>
    <row r="49" spans="1:14" x14ac:dyDescent="0.35">
      <c r="A49" t="s">
        <v>12</v>
      </c>
      <c r="B49" t="s">
        <v>27</v>
      </c>
      <c r="C49" t="s">
        <v>14</v>
      </c>
      <c r="D49" t="s">
        <v>18</v>
      </c>
      <c r="E49" t="s">
        <v>19</v>
      </c>
      <c r="F49">
        <v>30</v>
      </c>
      <c r="G49">
        <v>6.84</v>
      </c>
      <c r="H49">
        <v>0.16</v>
      </c>
      <c r="I49">
        <v>0.66</v>
      </c>
      <c r="J49">
        <v>3.62</v>
      </c>
      <c r="K49">
        <v>0</v>
      </c>
      <c r="L49">
        <v>25.26</v>
      </c>
      <c r="M49">
        <f t="shared" si="0"/>
        <v>4.8</v>
      </c>
      <c r="N49">
        <f t="shared" si="1"/>
        <v>19.8</v>
      </c>
    </row>
    <row r="50" spans="1:14" x14ac:dyDescent="0.35">
      <c r="A50" t="s">
        <v>12</v>
      </c>
      <c r="B50" t="s">
        <v>27</v>
      </c>
      <c r="C50" t="s">
        <v>20</v>
      </c>
      <c r="D50" t="s">
        <v>15</v>
      </c>
      <c r="E50" t="s">
        <v>21</v>
      </c>
      <c r="F50">
        <v>30</v>
      </c>
      <c r="G50">
        <v>8.1199999999999992</v>
      </c>
      <c r="H50">
        <v>7.0000000000000007E-2</v>
      </c>
      <c r="I50">
        <v>0.79</v>
      </c>
      <c r="J50">
        <v>3.96</v>
      </c>
      <c r="K50">
        <v>1</v>
      </c>
      <c r="L50">
        <v>29.18</v>
      </c>
      <c r="M50">
        <f t="shared" si="0"/>
        <v>2.1</v>
      </c>
      <c r="N50">
        <f t="shared" si="1"/>
        <v>23.700000000000003</v>
      </c>
    </row>
    <row r="51" spans="1:14" x14ac:dyDescent="0.35">
      <c r="A51" t="s">
        <v>12</v>
      </c>
      <c r="B51" t="s">
        <v>27</v>
      </c>
      <c r="C51" t="s">
        <v>20</v>
      </c>
      <c r="D51" t="s">
        <v>17</v>
      </c>
      <c r="E51" t="s">
        <v>19</v>
      </c>
      <c r="F51">
        <v>43</v>
      </c>
      <c r="G51">
        <v>7.03</v>
      </c>
      <c r="H51">
        <v>7.0000000000000007E-2</v>
      </c>
      <c r="I51">
        <v>0.76</v>
      </c>
      <c r="J51">
        <v>3.9</v>
      </c>
      <c r="K51">
        <v>3</v>
      </c>
      <c r="L51">
        <v>31.54</v>
      </c>
      <c r="M51">
        <f t="shared" si="0"/>
        <v>3.0100000000000002</v>
      </c>
      <c r="N51">
        <f t="shared" si="1"/>
        <v>32.68</v>
      </c>
    </row>
    <row r="52" spans="1:14" x14ac:dyDescent="0.35">
      <c r="A52" t="s">
        <v>12</v>
      </c>
      <c r="B52" t="s">
        <v>27</v>
      </c>
      <c r="C52" t="s">
        <v>20</v>
      </c>
      <c r="D52" t="s">
        <v>18</v>
      </c>
      <c r="E52" t="s">
        <v>19</v>
      </c>
      <c r="F52">
        <v>45</v>
      </c>
      <c r="G52">
        <v>5.98</v>
      </c>
      <c r="H52">
        <v>0.17</v>
      </c>
      <c r="I52">
        <v>0.64</v>
      </c>
      <c r="J52">
        <v>4.0599999999999996</v>
      </c>
      <c r="K52">
        <v>0</v>
      </c>
      <c r="L52">
        <v>23.97</v>
      </c>
      <c r="M52">
        <f t="shared" si="0"/>
        <v>7.65</v>
      </c>
      <c r="N52">
        <f t="shared" si="1"/>
        <v>28.8</v>
      </c>
    </row>
    <row r="53" spans="1:14" x14ac:dyDescent="0.35">
      <c r="A53" t="s">
        <v>12</v>
      </c>
      <c r="B53" t="s">
        <v>27</v>
      </c>
      <c r="C53" t="s">
        <v>22</v>
      </c>
      <c r="D53" t="s">
        <v>15</v>
      </c>
      <c r="E53" t="s">
        <v>16</v>
      </c>
      <c r="F53">
        <v>34</v>
      </c>
      <c r="G53">
        <v>5.07</v>
      </c>
      <c r="H53">
        <v>0.14000000000000001</v>
      </c>
      <c r="I53">
        <v>0.79</v>
      </c>
      <c r="J53">
        <v>3.52</v>
      </c>
      <c r="K53">
        <v>2</v>
      </c>
      <c r="L53">
        <v>26.6</v>
      </c>
      <c r="M53">
        <f t="shared" si="0"/>
        <v>4.7600000000000007</v>
      </c>
      <c r="N53">
        <f t="shared" si="1"/>
        <v>26.86</v>
      </c>
    </row>
    <row r="54" spans="1:14" x14ac:dyDescent="0.35">
      <c r="A54" t="s">
        <v>12</v>
      </c>
      <c r="B54" t="s">
        <v>27</v>
      </c>
      <c r="C54" t="s">
        <v>22</v>
      </c>
      <c r="D54" t="s">
        <v>17</v>
      </c>
      <c r="E54" t="s">
        <v>16</v>
      </c>
      <c r="F54">
        <v>34</v>
      </c>
      <c r="G54">
        <v>6.97</v>
      </c>
      <c r="H54">
        <v>0.14000000000000001</v>
      </c>
      <c r="I54">
        <v>0.89</v>
      </c>
      <c r="J54">
        <v>4.63</v>
      </c>
      <c r="K54">
        <v>1</v>
      </c>
      <c r="L54">
        <v>27.46</v>
      </c>
      <c r="M54">
        <f t="shared" si="0"/>
        <v>4.7600000000000007</v>
      </c>
      <c r="N54">
        <f t="shared" si="1"/>
        <v>30.26</v>
      </c>
    </row>
    <row r="55" spans="1:14" x14ac:dyDescent="0.35">
      <c r="A55" t="s">
        <v>12</v>
      </c>
      <c r="B55" t="s">
        <v>27</v>
      </c>
      <c r="C55" t="s">
        <v>22</v>
      </c>
      <c r="D55" t="s">
        <v>18</v>
      </c>
      <c r="E55" t="s">
        <v>21</v>
      </c>
      <c r="F55">
        <v>41</v>
      </c>
      <c r="G55">
        <v>7.54</v>
      </c>
      <c r="H55">
        <v>7.0000000000000007E-2</v>
      </c>
      <c r="I55">
        <v>0.76</v>
      </c>
      <c r="J55">
        <v>4.0999999999999996</v>
      </c>
      <c r="K55">
        <v>0</v>
      </c>
      <c r="L55">
        <v>26.31</v>
      </c>
      <c r="M55">
        <f t="shared" si="0"/>
        <v>2.87</v>
      </c>
      <c r="N55">
        <f t="shared" si="1"/>
        <v>31.16</v>
      </c>
    </row>
    <row r="56" spans="1:14" x14ac:dyDescent="0.35">
      <c r="A56" t="s">
        <v>12</v>
      </c>
      <c r="B56" t="s">
        <v>27</v>
      </c>
      <c r="C56" t="s">
        <v>23</v>
      </c>
      <c r="D56" t="s">
        <v>15</v>
      </c>
      <c r="E56" t="s">
        <v>21</v>
      </c>
      <c r="F56">
        <v>32</v>
      </c>
      <c r="G56">
        <v>6.5</v>
      </c>
      <c r="H56">
        <v>0.05</v>
      </c>
      <c r="I56">
        <v>0.79</v>
      </c>
      <c r="J56">
        <v>3.78</v>
      </c>
      <c r="K56">
        <v>0</v>
      </c>
      <c r="L56">
        <v>24.75</v>
      </c>
      <c r="M56">
        <f t="shared" si="0"/>
        <v>1.6</v>
      </c>
      <c r="N56">
        <f t="shared" si="1"/>
        <v>25.28</v>
      </c>
    </row>
    <row r="57" spans="1:14" x14ac:dyDescent="0.35">
      <c r="A57" t="s">
        <v>12</v>
      </c>
      <c r="B57" t="s">
        <v>27</v>
      </c>
      <c r="C57" t="s">
        <v>23</v>
      </c>
      <c r="D57" t="s">
        <v>17</v>
      </c>
      <c r="E57" t="s">
        <v>19</v>
      </c>
      <c r="F57">
        <v>79</v>
      </c>
      <c r="G57">
        <v>7.06</v>
      </c>
      <c r="H57">
        <v>0.22</v>
      </c>
      <c r="I57">
        <v>0.76</v>
      </c>
      <c r="J57">
        <v>3.91</v>
      </c>
      <c r="K57">
        <v>2</v>
      </c>
      <c r="L57">
        <v>29.59</v>
      </c>
      <c r="M57">
        <f t="shared" si="0"/>
        <v>17.38</v>
      </c>
      <c r="N57">
        <f t="shared" si="1"/>
        <v>60.04</v>
      </c>
    </row>
    <row r="58" spans="1:14" x14ac:dyDescent="0.35">
      <c r="A58" t="s">
        <v>12</v>
      </c>
      <c r="B58" t="s">
        <v>27</v>
      </c>
      <c r="C58" t="s">
        <v>23</v>
      </c>
      <c r="D58" t="s">
        <v>18</v>
      </c>
      <c r="E58" t="s">
        <v>19</v>
      </c>
      <c r="F58">
        <v>63</v>
      </c>
      <c r="G58">
        <v>5.97</v>
      </c>
      <c r="H58">
        <v>0.22</v>
      </c>
      <c r="I58">
        <v>0.69</v>
      </c>
      <c r="J58">
        <v>4.72</v>
      </c>
      <c r="K58">
        <v>0</v>
      </c>
      <c r="L58">
        <v>23.96</v>
      </c>
      <c r="M58">
        <f t="shared" si="0"/>
        <v>13.86</v>
      </c>
      <c r="N58">
        <f t="shared" si="1"/>
        <v>43.47</v>
      </c>
    </row>
    <row r="59" spans="1:14" x14ac:dyDescent="0.35">
      <c r="A59" t="s">
        <v>12</v>
      </c>
      <c r="B59" t="s">
        <v>27</v>
      </c>
      <c r="C59" t="s">
        <v>24</v>
      </c>
      <c r="D59" t="s">
        <v>15</v>
      </c>
      <c r="E59" t="s">
        <v>16</v>
      </c>
      <c r="F59">
        <v>65</v>
      </c>
      <c r="G59">
        <v>4.28</v>
      </c>
      <c r="H59">
        <v>0.04</v>
      </c>
      <c r="I59">
        <v>0.86</v>
      </c>
      <c r="J59">
        <v>4.55</v>
      </c>
      <c r="K59">
        <v>3</v>
      </c>
      <c r="L59">
        <v>27.42</v>
      </c>
      <c r="M59">
        <f t="shared" si="0"/>
        <v>2.6</v>
      </c>
      <c r="N59">
        <f t="shared" si="1"/>
        <v>55.9</v>
      </c>
    </row>
    <row r="60" spans="1:14" x14ac:dyDescent="0.35">
      <c r="A60" t="s">
        <v>12</v>
      </c>
      <c r="B60" t="s">
        <v>27</v>
      </c>
      <c r="C60" t="s">
        <v>24</v>
      </c>
      <c r="D60" t="s">
        <v>17</v>
      </c>
      <c r="E60" t="s">
        <v>16</v>
      </c>
      <c r="F60">
        <v>47</v>
      </c>
      <c r="G60">
        <v>6.49</v>
      </c>
      <c r="H60">
        <v>0.13</v>
      </c>
      <c r="I60">
        <v>0.83</v>
      </c>
      <c r="J60">
        <v>3.81</v>
      </c>
      <c r="K60">
        <v>1</v>
      </c>
      <c r="L60">
        <v>26.74</v>
      </c>
      <c r="M60">
        <f t="shared" si="0"/>
        <v>6.11</v>
      </c>
      <c r="N60">
        <f t="shared" si="1"/>
        <v>39.01</v>
      </c>
    </row>
    <row r="61" spans="1:14" x14ac:dyDescent="0.35">
      <c r="A61" t="s">
        <v>12</v>
      </c>
      <c r="B61" t="s">
        <v>27</v>
      </c>
      <c r="C61" t="s">
        <v>24</v>
      </c>
      <c r="D61" t="s">
        <v>18</v>
      </c>
      <c r="E61" t="s">
        <v>21</v>
      </c>
      <c r="F61">
        <v>64</v>
      </c>
      <c r="G61">
        <v>4.47</v>
      </c>
      <c r="H61">
        <v>0.03</v>
      </c>
      <c r="I61">
        <v>0.83</v>
      </c>
      <c r="J61">
        <v>4.16</v>
      </c>
      <c r="K61">
        <v>2</v>
      </c>
      <c r="L61">
        <v>25.7</v>
      </c>
      <c r="M61">
        <f t="shared" si="0"/>
        <v>1.92</v>
      </c>
      <c r="N61">
        <f t="shared" si="1"/>
        <v>53.12</v>
      </c>
    </row>
    <row r="62" spans="1:14" x14ac:dyDescent="0.35">
      <c r="A62" t="s">
        <v>12</v>
      </c>
      <c r="B62" t="s">
        <v>28</v>
      </c>
      <c r="C62" t="s">
        <v>14</v>
      </c>
      <c r="D62" t="s">
        <v>15</v>
      </c>
      <c r="E62" t="s">
        <v>16</v>
      </c>
      <c r="F62">
        <v>48</v>
      </c>
      <c r="G62">
        <v>6.32</v>
      </c>
      <c r="H62">
        <v>0.14000000000000001</v>
      </c>
      <c r="I62">
        <v>0.84</v>
      </c>
      <c r="J62">
        <v>4.32</v>
      </c>
      <c r="K62">
        <v>0</v>
      </c>
      <c r="L62">
        <v>24.48</v>
      </c>
      <c r="M62">
        <f t="shared" si="0"/>
        <v>6.7200000000000006</v>
      </c>
      <c r="N62">
        <f t="shared" si="1"/>
        <v>40.32</v>
      </c>
    </row>
    <row r="63" spans="1:14" x14ac:dyDescent="0.35">
      <c r="A63" t="s">
        <v>12</v>
      </c>
      <c r="B63" t="s">
        <v>28</v>
      </c>
      <c r="C63" t="s">
        <v>14</v>
      </c>
      <c r="D63" t="s">
        <v>17</v>
      </c>
      <c r="E63" t="s">
        <v>19</v>
      </c>
      <c r="F63">
        <v>54</v>
      </c>
      <c r="G63">
        <v>5.87</v>
      </c>
      <c r="H63">
        <v>0.19</v>
      </c>
      <c r="I63">
        <v>0.78</v>
      </c>
      <c r="J63">
        <v>4.7300000000000004</v>
      </c>
      <c r="K63">
        <v>1</v>
      </c>
      <c r="L63">
        <v>25.8</v>
      </c>
      <c r="M63">
        <f t="shared" si="0"/>
        <v>10.26</v>
      </c>
      <c r="N63">
        <f t="shared" si="1"/>
        <v>42.120000000000005</v>
      </c>
    </row>
    <row r="64" spans="1:14" x14ac:dyDescent="0.35">
      <c r="A64" t="s">
        <v>12</v>
      </c>
      <c r="B64" t="s">
        <v>28</v>
      </c>
      <c r="C64" t="s">
        <v>14</v>
      </c>
      <c r="D64" t="s">
        <v>18</v>
      </c>
      <c r="E64" t="s">
        <v>19</v>
      </c>
      <c r="F64">
        <v>71</v>
      </c>
      <c r="G64">
        <v>7.81</v>
      </c>
      <c r="H64">
        <v>0.28999999999999998</v>
      </c>
      <c r="I64">
        <v>0.77</v>
      </c>
      <c r="J64">
        <v>4.59</v>
      </c>
      <c r="K64">
        <v>2</v>
      </c>
      <c r="L64">
        <v>30.72</v>
      </c>
      <c r="M64">
        <f t="shared" si="0"/>
        <v>20.59</v>
      </c>
      <c r="N64">
        <f t="shared" si="1"/>
        <v>54.67</v>
      </c>
    </row>
    <row r="65" spans="1:14" x14ac:dyDescent="0.35">
      <c r="A65" t="s">
        <v>12</v>
      </c>
      <c r="B65" t="s">
        <v>28</v>
      </c>
      <c r="C65" t="s">
        <v>20</v>
      </c>
      <c r="D65" t="s">
        <v>15</v>
      </c>
      <c r="E65" t="s">
        <v>21</v>
      </c>
      <c r="F65">
        <v>75</v>
      </c>
      <c r="G65">
        <v>6.4</v>
      </c>
      <c r="H65">
        <v>0.11</v>
      </c>
      <c r="I65">
        <v>0.76</v>
      </c>
      <c r="J65">
        <v>4.57</v>
      </c>
      <c r="K65">
        <v>1</v>
      </c>
      <c r="L65">
        <v>26.6</v>
      </c>
      <c r="M65">
        <f t="shared" si="0"/>
        <v>8.25</v>
      </c>
      <c r="N65">
        <f t="shared" si="1"/>
        <v>57</v>
      </c>
    </row>
    <row r="66" spans="1:14" x14ac:dyDescent="0.35">
      <c r="A66" t="s">
        <v>12</v>
      </c>
      <c r="B66" t="s">
        <v>28</v>
      </c>
      <c r="C66" t="s">
        <v>20</v>
      </c>
      <c r="D66" t="s">
        <v>17</v>
      </c>
      <c r="E66" t="s">
        <v>19</v>
      </c>
      <c r="F66">
        <v>66</v>
      </c>
      <c r="G66">
        <v>6.45</v>
      </c>
      <c r="H66">
        <v>0.27</v>
      </c>
      <c r="I66">
        <v>0.88</v>
      </c>
      <c r="J66">
        <v>3.81</v>
      </c>
      <c r="K66">
        <v>2</v>
      </c>
      <c r="L66">
        <v>28.68</v>
      </c>
      <c r="M66">
        <f t="shared" si="0"/>
        <v>17.82</v>
      </c>
      <c r="N66">
        <f t="shared" si="1"/>
        <v>58.08</v>
      </c>
    </row>
    <row r="67" spans="1:14" x14ac:dyDescent="0.35">
      <c r="A67" t="s">
        <v>12</v>
      </c>
      <c r="B67" t="s">
        <v>28</v>
      </c>
      <c r="C67" t="s">
        <v>20</v>
      </c>
      <c r="D67" t="s">
        <v>18</v>
      </c>
      <c r="E67" t="s">
        <v>16</v>
      </c>
      <c r="F67">
        <v>65</v>
      </c>
      <c r="G67">
        <v>4.54</v>
      </c>
      <c r="H67">
        <v>7.0000000000000007E-2</v>
      </c>
      <c r="I67">
        <v>0.62</v>
      </c>
      <c r="J67">
        <v>4.51</v>
      </c>
      <c r="K67">
        <v>0</v>
      </c>
      <c r="L67">
        <v>21.81</v>
      </c>
      <c r="M67">
        <f t="shared" ref="M67:M130" si="2">SUM(F67*H67)</f>
        <v>4.5500000000000007</v>
      </c>
      <c r="N67">
        <f t="shared" ref="N67:N130" si="3">SUM(I67*F67)</f>
        <v>40.299999999999997</v>
      </c>
    </row>
    <row r="68" spans="1:14" x14ac:dyDescent="0.35">
      <c r="A68" t="s">
        <v>12</v>
      </c>
      <c r="B68" t="s">
        <v>28</v>
      </c>
      <c r="C68" t="s">
        <v>22</v>
      </c>
      <c r="D68" t="s">
        <v>15</v>
      </c>
      <c r="E68" t="s">
        <v>16</v>
      </c>
      <c r="F68">
        <v>55</v>
      </c>
      <c r="G68">
        <v>5.28</v>
      </c>
      <c r="H68">
        <v>0.05</v>
      </c>
      <c r="I68">
        <v>0.81</v>
      </c>
      <c r="J68">
        <v>4.24</v>
      </c>
      <c r="K68">
        <v>1</v>
      </c>
      <c r="L68">
        <v>24.92</v>
      </c>
      <c r="M68">
        <f t="shared" si="2"/>
        <v>2.75</v>
      </c>
      <c r="N68">
        <f t="shared" si="3"/>
        <v>44.550000000000004</v>
      </c>
    </row>
    <row r="69" spans="1:14" x14ac:dyDescent="0.35">
      <c r="A69" t="s">
        <v>12</v>
      </c>
      <c r="B69" t="s">
        <v>28</v>
      </c>
      <c r="C69" t="s">
        <v>22</v>
      </c>
      <c r="D69" t="s">
        <v>17</v>
      </c>
      <c r="E69" t="s">
        <v>21</v>
      </c>
      <c r="F69">
        <v>70</v>
      </c>
      <c r="G69">
        <v>4.12</v>
      </c>
      <c r="H69">
        <v>0.12</v>
      </c>
      <c r="I69">
        <v>0.85</v>
      </c>
      <c r="J69">
        <v>3.81</v>
      </c>
      <c r="K69">
        <v>0</v>
      </c>
      <c r="L69">
        <v>21.18</v>
      </c>
      <c r="M69">
        <f t="shared" si="2"/>
        <v>8.4</v>
      </c>
      <c r="N69">
        <f t="shared" si="3"/>
        <v>59.5</v>
      </c>
    </row>
    <row r="70" spans="1:14" x14ac:dyDescent="0.35">
      <c r="A70" t="s">
        <v>12</v>
      </c>
      <c r="B70" t="s">
        <v>28</v>
      </c>
      <c r="C70" t="s">
        <v>22</v>
      </c>
      <c r="D70" t="s">
        <v>18</v>
      </c>
      <c r="E70" t="s">
        <v>16</v>
      </c>
      <c r="F70">
        <v>54</v>
      </c>
      <c r="G70">
        <v>5.66</v>
      </c>
      <c r="H70">
        <v>0.15</v>
      </c>
      <c r="I70">
        <v>0.6</v>
      </c>
      <c r="J70">
        <v>4.76</v>
      </c>
      <c r="K70">
        <v>0</v>
      </c>
      <c r="L70">
        <v>23.49</v>
      </c>
      <c r="M70">
        <f t="shared" si="2"/>
        <v>8.1</v>
      </c>
      <c r="N70">
        <f t="shared" si="3"/>
        <v>32.4</v>
      </c>
    </row>
    <row r="71" spans="1:14" x14ac:dyDescent="0.35">
      <c r="A71" t="s">
        <v>12</v>
      </c>
      <c r="B71" t="s">
        <v>28</v>
      </c>
      <c r="C71" t="s">
        <v>23</v>
      </c>
      <c r="D71" t="s">
        <v>15</v>
      </c>
      <c r="E71" t="s">
        <v>21</v>
      </c>
      <c r="F71">
        <v>50</v>
      </c>
      <c r="G71">
        <v>6.46</v>
      </c>
      <c r="H71">
        <v>0.15</v>
      </c>
      <c r="I71">
        <v>0.76</v>
      </c>
      <c r="J71">
        <v>4.22</v>
      </c>
      <c r="K71">
        <v>3</v>
      </c>
      <c r="L71">
        <v>30.69</v>
      </c>
      <c r="M71">
        <f t="shared" si="2"/>
        <v>7.5</v>
      </c>
      <c r="N71">
        <f t="shared" si="3"/>
        <v>38</v>
      </c>
    </row>
    <row r="72" spans="1:14" x14ac:dyDescent="0.35">
      <c r="A72" t="s">
        <v>12</v>
      </c>
      <c r="B72" t="s">
        <v>28</v>
      </c>
      <c r="C72" t="s">
        <v>23</v>
      </c>
      <c r="D72" t="s">
        <v>17</v>
      </c>
      <c r="E72" t="s">
        <v>16</v>
      </c>
      <c r="F72">
        <v>70</v>
      </c>
      <c r="G72">
        <v>5.3</v>
      </c>
      <c r="H72">
        <v>0.15</v>
      </c>
      <c r="I72">
        <v>0.85</v>
      </c>
      <c r="J72">
        <v>4</v>
      </c>
      <c r="K72">
        <v>1</v>
      </c>
      <c r="L72">
        <v>24.95</v>
      </c>
      <c r="M72">
        <f t="shared" si="2"/>
        <v>10.5</v>
      </c>
      <c r="N72">
        <f t="shared" si="3"/>
        <v>59.5</v>
      </c>
    </row>
    <row r="73" spans="1:14" x14ac:dyDescent="0.35">
      <c r="A73" t="s">
        <v>12</v>
      </c>
      <c r="B73" t="s">
        <v>28</v>
      </c>
      <c r="C73" t="s">
        <v>23</v>
      </c>
      <c r="D73" t="s">
        <v>18</v>
      </c>
      <c r="E73" t="s">
        <v>21</v>
      </c>
      <c r="F73">
        <v>39</v>
      </c>
      <c r="G73">
        <v>5.03</v>
      </c>
      <c r="H73">
        <v>0.14000000000000001</v>
      </c>
      <c r="I73">
        <v>0.82</v>
      </c>
      <c r="J73">
        <v>4.09</v>
      </c>
      <c r="K73">
        <v>1</v>
      </c>
      <c r="L73">
        <v>24.54</v>
      </c>
      <c r="M73">
        <f t="shared" si="2"/>
        <v>5.4600000000000009</v>
      </c>
      <c r="N73">
        <f t="shared" si="3"/>
        <v>31.979999999999997</v>
      </c>
    </row>
    <row r="74" spans="1:14" x14ac:dyDescent="0.35">
      <c r="A74" t="s">
        <v>12</v>
      </c>
      <c r="B74" t="s">
        <v>28</v>
      </c>
      <c r="C74" t="s">
        <v>24</v>
      </c>
      <c r="D74" t="s">
        <v>15</v>
      </c>
      <c r="E74" t="s">
        <v>19</v>
      </c>
      <c r="F74">
        <v>57</v>
      </c>
      <c r="G74">
        <v>4.79</v>
      </c>
      <c r="H74">
        <v>0.11</v>
      </c>
      <c r="I74">
        <v>0.79</v>
      </c>
      <c r="J74">
        <v>3.97</v>
      </c>
      <c r="K74">
        <v>0</v>
      </c>
      <c r="L74">
        <v>22.18</v>
      </c>
      <c r="M74">
        <f t="shared" si="2"/>
        <v>6.2700000000000005</v>
      </c>
      <c r="N74">
        <f t="shared" si="3"/>
        <v>45.03</v>
      </c>
    </row>
    <row r="75" spans="1:14" x14ac:dyDescent="0.35">
      <c r="A75" t="s">
        <v>12</v>
      </c>
      <c r="B75" t="s">
        <v>28</v>
      </c>
      <c r="C75" t="s">
        <v>24</v>
      </c>
      <c r="D75" t="s">
        <v>17</v>
      </c>
      <c r="E75" t="s">
        <v>16</v>
      </c>
      <c r="F75">
        <v>46</v>
      </c>
      <c r="G75">
        <v>7.59</v>
      </c>
      <c r="H75">
        <v>0.06</v>
      </c>
      <c r="I75">
        <v>0.81</v>
      </c>
      <c r="J75">
        <v>4.28</v>
      </c>
      <c r="K75">
        <v>0</v>
      </c>
      <c r="L75">
        <v>26.38</v>
      </c>
      <c r="M75">
        <f t="shared" si="2"/>
        <v>2.76</v>
      </c>
      <c r="N75">
        <f t="shared" si="3"/>
        <v>37.260000000000005</v>
      </c>
    </row>
    <row r="76" spans="1:14" x14ac:dyDescent="0.35">
      <c r="A76" t="s">
        <v>12</v>
      </c>
      <c r="B76" t="s">
        <v>28</v>
      </c>
      <c r="C76" t="s">
        <v>24</v>
      </c>
      <c r="D76" t="s">
        <v>18</v>
      </c>
      <c r="E76" t="s">
        <v>19</v>
      </c>
      <c r="F76">
        <v>64</v>
      </c>
      <c r="G76">
        <v>6.74</v>
      </c>
      <c r="H76">
        <v>0.15</v>
      </c>
      <c r="I76">
        <v>0.83</v>
      </c>
      <c r="J76">
        <v>4.63</v>
      </c>
      <c r="K76">
        <v>0</v>
      </c>
      <c r="L76">
        <v>25.11</v>
      </c>
      <c r="M76">
        <f t="shared" si="2"/>
        <v>9.6</v>
      </c>
      <c r="N76">
        <f t="shared" si="3"/>
        <v>53.12</v>
      </c>
    </row>
    <row r="77" spans="1:14" x14ac:dyDescent="0.35">
      <c r="A77" t="s">
        <v>12</v>
      </c>
      <c r="B77" t="s">
        <v>29</v>
      </c>
      <c r="C77" t="s">
        <v>14</v>
      </c>
      <c r="D77" t="s">
        <v>15</v>
      </c>
      <c r="E77" t="s">
        <v>19</v>
      </c>
      <c r="F77">
        <v>62</v>
      </c>
      <c r="G77">
        <v>7.48</v>
      </c>
      <c r="H77">
        <v>0.24</v>
      </c>
      <c r="I77">
        <v>0.82</v>
      </c>
      <c r="J77">
        <v>4.78</v>
      </c>
      <c r="K77">
        <v>0</v>
      </c>
      <c r="L77">
        <v>26.22</v>
      </c>
      <c r="M77">
        <f t="shared" si="2"/>
        <v>14.879999999999999</v>
      </c>
      <c r="N77">
        <f t="shared" si="3"/>
        <v>50.839999999999996</v>
      </c>
    </row>
    <row r="78" spans="1:14" x14ac:dyDescent="0.35">
      <c r="A78" t="s">
        <v>12</v>
      </c>
      <c r="B78" t="s">
        <v>29</v>
      </c>
      <c r="C78" t="s">
        <v>14</v>
      </c>
      <c r="D78" t="s">
        <v>17</v>
      </c>
      <c r="E78" t="s">
        <v>21</v>
      </c>
      <c r="F78">
        <v>54</v>
      </c>
      <c r="G78">
        <v>5.89</v>
      </c>
      <c r="H78">
        <v>7.0000000000000007E-2</v>
      </c>
      <c r="I78">
        <v>0.79</v>
      </c>
      <c r="J78">
        <v>3.57</v>
      </c>
      <c r="K78">
        <v>2</v>
      </c>
      <c r="L78">
        <v>27.84</v>
      </c>
      <c r="M78">
        <f t="shared" si="2"/>
        <v>3.7800000000000002</v>
      </c>
      <c r="N78">
        <f t="shared" si="3"/>
        <v>42.660000000000004</v>
      </c>
    </row>
    <row r="79" spans="1:14" x14ac:dyDescent="0.35">
      <c r="A79" t="s">
        <v>12</v>
      </c>
      <c r="B79" t="s">
        <v>29</v>
      </c>
      <c r="C79" t="s">
        <v>14</v>
      </c>
      <c r="D79" t="s">
        <v>18</v>
      </c>
      <c r="E79" t="s">
        <v>21</v>
      </c>
      <c r="F79">
        <v>60</v>
      </c>
      <c r="G79">
        <v>7.24</v>
      </c>
      <c r="H79">
        <v>0.12</v>
      </c>
      <c r="I79">
        <v>0.83</v>
      </c>
      <c r="J79">
        <v>4.26</v>
      </c>
      <c r="K79">
        <v>1</v>
      </c>
      <c r="L79">
        <v>27.86</v>
      </c>
      <c r="M79">
        <f t="shared" si="2"/>
        <v>7.1999999999999993</v>
      </c>
      <c r="N79">
        <f t="shared" si="3"/>
        <v>49.8</v>
      </c>
    </row>
    <row r="80" spans="1:14" x14ac:dyDescent="0.35">
      <c r="A80" t="s">
        <v>12</v>
      </c>
      <c r="B80" t="s">
        <v>29</v>
      </c>
      <c r="C80" t="s">
        <v>20</v>
      </c>
      <c r="D80" t="s">
        <v>15</v>
      </c>
      <c r="E80" t="s">
        <v>21</v>
      </c>
      <c r="F80">
        <v>48</v>
      </c>
      <c r="G80">
        <v>5.69</v>
      </c>
      <c r="H80">
        <v>0.04</v>
      </c>
      <c r="I80">
        <v>0.89</v>
      </c>
      <c r="J80">
        <v>4.29</v>
      </c>
      <c r="K80">
        <v>0</v>
      </c>
      <c r="L80">
        <v>23.54</v>
      </c>
      <c r="M80">
        <f t="shared" si="2"/>
        <v>1.92</v>
      </c>
      <c r="N80">
        <f t="shared" si="3"/>
        <v>42.72</v>
      </c>
    </row>
    <row r="81" spans="1:14" x14ac:dyDescent="0.35">
      <c r="A81" t="s">
        <v>12</v>
      </c>
      <c r="B81" t="s">
        <v>29</v>
      </c>
      <c r="C81" t="s">
        <v>20</v>
      </c>
      <c r="D81" t="s">
        <v>17</v>
      </c>
      <c r="E81" t="s">
        <v>16</v>
      </c>
      <c r="F81">
        <v>61</v>
      </c>
      <c r="G81">
        <v>4.4000000000000004</v>
      </c>
      <c r="H81">
        <v>0.03</v>
      </c>
      <c r="I81">
        <v>0.79</v>
      </c>
      <c r="J81">
        <v>3.53</v>
      </c>
      <c r="K81">
        <v>0</v>
      </c>
      <c r="L81">
        <v>21.6</v>
      </c>
      <c r="M81">
        <f t="shared" si="2"/>
        <v>1.8299999999999998</v>
      </c>
      <c r="N81">
        <f t="shared" si="3"/>
        <v>48.190000000000005</v>
      </c>
    </row>
    <row r="82" spans="1:14" x14ac:dyDescent="0.35">
      <c r="A82" t="s">
        <v>12</v>
      </c>
      <c r="B82" t="s">
        <v>29</v>
      </c>
      <c r="C82" t="s">
        <v>20</v>
      </c>
      <c r="D82" t="s">
        <v>18</v>
      </c>
      <c r="E82" t="s">
        <v>16</v>
      </c>
      <c r="F82">
        <v>32</v>
      </c>
      <c r="G82">
        <v>7.18</v>
      </c>
      <c r="H82">
        <v>0.09</v>
      </c>
      <c r="I82">
        <v>0.74</v>
      </c>
      <c r="J82">
        <v>4.6399999999999997</v>
      </c>
      <c r="K82">
        <v>0</v>
      </c>
      <c r="L82">
        <v>25.77</v>
      </c>
      <c r="M82">
        <f t="shared" si="2"/>
        <v>2.88</v>
      </c>
      <c r="N82">
        <f t="shared" si="3"/>
        <v>23.68</v>
      </c>
    </row>
    <row r="83" spans="1:14" x14ac:dyDescent="0.35">
      <c r="A83" t="s">
        <v>12</v>
      </c>
      <c r="B83" t="s">
        <v>29</v>
      </c>
      <c r="C83" t="s">
        <v>22</v>
      </c>
      <c r="D83" t="s">
        <v>15</v>
      </c>
      <c r="E83" t="s">
        <v>19</v>
      </c>
      <c r="F83">
        <v>76</v>
      </c>
      <c r="G83">
        <v>6.07</v>
      </c>
      <c r="H83">
        <v>0.16</v>
      </c>
      <c r="I83">
        <v>0.87</v>
      </c>
      <c r="J83">
        <v>4.33</v>
      </c>
      <c r="K83">
        <v>2</v>
      </c>
      <c r="L83">
        <v>28.1</v>
      </c>
      <c r="M83">
        <f t="shared" si="2"/>
        <v>12.16</v>
      </c>
      <c r="N83">
        <f t="shared" si="3"/>
        <v>66.12</v>
      </c>
    </row>
    <row r="84" spans="1:14" x14ac:dyDescent="0.35">
      <c r="A84" t="s">
        <v>12</v>
      </c>
      <c r="B84" t="s">
        <v>29</v>
      </c>
      <c r="C84" t="s">
        <v>22</v>
      </c>
      <c r="D84" t="s">
        <v>17</v>
      </c>
      <c r="E84" t="s">
        <v>21</v>
      </c>
      <c r="F84">
        <v>63</v>
      </c>
      <c r="G84">
        <v>7.06</v>
      </c>
      <c r="H84">
        <v>7.0000000000000007E-2</v>
      </c>
      <c r="I84">
        <v>0.82</v>
      </c>
      <c r="J84">
        <v>4.68</v>
      </c>
      <c r="K84">
        <v>0</v>
      </c>
      <c r="L84">
        <v>25.59</v>
      </c>
      <c r="M84">
        <f t="shared" si="2"/>
        <v>4.41</v>
      </c>
      <c r="N84">
        <f t="shared" si="3"/>
        <v>51.66</v>
      </c>
    </row>
    <row r="85" spans="1:14" x14ac:dyDescent="0.35">
      <c r="A85" t="s">
        <v>12</v>
      </c>
      <c r="B85" t="s">
        <v>29</v>
      </c>
      <c r="C85" t="s">
        <v>22</v>
      </c>
      <c r="D85" t="s">
        <v>18</v>
      </c>
      <c r="E85" t="s">
        <v>16</v>
      </c>
      <c r="F85">
        <v>53</v>
      </c>
      <c r="G85">
        <v>4.24</v>
      </c>
      <c r="H85">
        <v>0.14000000000000001</v>
      </c>
      <c r="I85">
        <v>0.67</v>
      </c>
      <c r="J85">
        <v>4.18</v>
      </c>
      <c r="K85">
        <v>1</v>
      </c>
      <c r="L85">
        <v>23.36</v>
      </c>
      <c r="M85">
        <f t="shared" si="2"/>
        <v>7.4200000000000008</v>
      </c>
      <c r="N85">
        <f t="shared" si="3"/>
        <v>35.510000000000005</v>
      </c>
    </row>
    <row r="86" spans="1:14" x14ac:dyDescent="0.35">
      <c r="A86" t="s">
        <v>12</v>
      </c>
      <c r="B86" t="s">
        <v>29</v>
      </c>
      <c r="C86" t="s">
        <v>23</v>
      </c>
      <c r="D86" t="s">
        <v>15</v>
      </c>
      <c r="E86" t="s">
        <v>21</v>
      </c>
      <c r="F86">
        <v>39</v>
      </c>
      <c r="G86">
        <v>5.99</v>
      </c>
      <c r="H86">
        <v>0.05</v>
      </c>
      <c r="I86">
        <v>0.82</v>
      </c>
      <c r="J86">
        <v>4.7699999999999996</v>
      </c>
      <c r="K86">
        <v>0</v>
      </c>
      <c r="L86">
        <v>23.98</v>
      </c>
      <c r="M86">
        <f t="shared" si="2"/>
        <v>1.9500000000000002</v>
      </c>
      <c r="N86">
        <f t="shared" si="3"/>
        <v>31.979999999999997</v>
      </c>
    </row>
    <row r="87" spans="1:14" x14ac:dyDescent="0.35">
      <c r="A87" t="s">
        <v>12</v>
      </c>
      <c r="B87" t="s">
        <v>29</v>
      </c>
      <c r="C87" t="s">
        <v>23</v>
      </c>
      <c r="D87" t="s">
        <v>17</v>
      </c>
      <c r="E87" t="s">
        <v>16</v>
      </c>
      <c r="F87">
        <v>72</v>
      </c>
      <c r="G87">
        <v>6.8</v>
      </c>
      <c r="H87">
        <v>0.1</v>
      </c>
      <c r="I87">
        <v>0.8</v>
      </c>
      <c r="J87">
        <v>4.2</v>
      </c>
      <c r="K87">
        <v>0</v>
      </c>
      <c r="L87">
        <v>25.2</v>
      </c>
      <c r="M87">
        <f t="shared" si="2"/>
        <v>7.2</v>
      </c>
      <c r="N87">
        <f t="shared" si="3"/>
        <v>57.6</v>
      </c>
    </row>
    <row r="88" spans="1:14" x14ac:dyDescent="0.35">
      <c r="A88" t="s">
        <v>12</v>
      </c>
      <c r="B88" t="s">
        <v>29</v>
      </c>
      <c r="C88" t="s">
        <v>23</v>
      </c>
      <c r="D88" t="s">
        <v>18</v>
      </c>
      <c r="E88" t="s">
        <v>16</v>
      </c>
      <c r="F88">
        <v>40</v>
      </c>
      <c r="G88">
        <v>6.37</v>
      </c>
      <c r="H88">
        <v>0.04</v>
      </c>
      <c r="I88">
        <v>0.69</v>
      </c>
      <c r="J88">
        <v>4.67</v>
      </c>
      <c r="K88">
        <v>0</v>
      </c>
      <c r="L88">
        <v>24.56</v>
      </c>
      <c r="M88">
        <f t="shared" si="2"/>
        <v>1.6</v>
      </c>
      <c r="N88">
        <f t="shared" si="3"/>
        <v>27.599999999999998</v>
      </c>
    </row>
    <row r="89" spans="1:14" x14ac:dyDescent="0.35">
      <c r="A89" t="s">
        <v>12</v>
      </c>
      <c r="B89" t="s">
        <v>29</v>
      </c>
      <c r="C89" t="s">
        <v>24</v>
      </c>
      <c r="D89" t="s">
        <v>15</v>
      </c>
      <c r="E89" t="s">
        <v>16</v>
      </c>
      <c r="F89">
        <v>79</v>
      </c>
      <c r="G89">
        <v>5.0599999999999996</v>
      </c>
      <c r="H89">
        <v>0.1</v>
      </c>
      <c r="I89">
        <v>0.78</v>
      </c>
      <c r="J89">
        <v>4.57</v>
      </c>
      <c r="K89">
        <v>0</v>
      </c>
      <c r="L89">
        <v>22.59</v>
      </c>
      <c r="M89">
        <f t="shared" si="2"/>
        <v>7.9</v>
      </c>
      <c r="N89">
        <f t="shared" si="3"/>
        <v>61.620000000000005</v>
      </c>
    </row>
    <row r="90" spans="1:14" x14ac:dyDescent="0.35">
      <c r="A90" t="s">
        <v>12</v>
      </c>
      <c r="B90" t="s">
        <v>29</v>
      </c>
      <c r="C90" t="s">
        <v>24</v>
      </c>
      <c r="D90" t="s">
        <v>17</v>
      </c>
      <c r="E90" t="s">
        <v>16</v>
      </c>
      <c r="F90">
        <v>51</v>
      </c>
      <c r="G90">
        <v>4.57</v>
      </c>
      <c r="H90">
        <v>7.0000000000000007E-2</v>
      </c>
      <c r="I90">
        <v>0.83</v>
      </c>
      <c r="J90">
        <v>4.4000000000000004</v>
      </c>
      <c r="K90">
        <v>0</v>
      </c>
      <c r="L90">
        <v>21.86</v>
      </c>
      <c r="M90">
        <f t="shared" si="2"/>
        <v>3.5700000000000003</v>
      </c>
      <c r="N90">
        <f t="shared" si="3"/>
        <v>42.33</v>
      </c>
    </row>
    <row r="91" spans="1:14" x14ac:dyDescent="0.35">
      <c r="A91" t="s">
        <v>12</v>
      </c>
      <c r="B91" t="s">
        <v>29</v>
      </c>
      <c r="C91" t="s">
        <v>24</v>
      </c>
      <c r="D91" t="s">
        <v>18</v>
      </c>
      <c r="E91" t="s">
        <v>21</v>
      </c>
      <c r="F91">
        <v>51</v>
      </c>
      <c r="G91">
        <v>5.81</v>
      </c>
      <c r="H91">
        <v>0.03</v>
      </c>
      <c r="I91">
        <v>0.82</v>
      </c>
      <c r="J91">
        <v>4.7</v>
      </c>
      <c r="K91">
        <v>0</v>
      </c>
      <c r="L91">
        <v>23.72</v>
      </c>
      <c r="M91">
        <f t="shared" si="2"/>
        <v>1.53</v>
      </c>
      <c r="N91">
        <f t="shared" si="3"/>
        <v>41.82</v>
      </c>
    </row>
    <row r="92" spans="1:14" x14ac:dyDescent="0.35">
      <c r="A92" t="s">
        <v>12</v>
      </c>
      <c r="B92" t="s">
        <v>30</v>
      </c>
      <c r="C92" t="s">
        <v>14</v>
      </c>
      <c r="D92" t="s">
        <v>15</v>
      </c>
      <c r="E92" t="s">
        <v>19</v>
      </c>
      <c r="F92">
        <v>30</v>
      </c>
      <c r="G92">
        <v>6.18</v>
      </c>
      <c r="H92">
        <v>0.3</v>
      </c>
      <c r="I92">
        <v>0.83</v>
      </c>
      <c r="J92">
        <v>4.7</v>
      </c>
      <c r="K92">
        <v>0</v>
      </c>
      <c r="L92">
        <v>24.27</v>
      </c>
      <c r="M92">
        <f t="shared" si="2"/>
        <v>9</v>
      </c>
      <c r="N92">
        <f t="shared" si="3"/>
        <v>24.9</v>
      </c>
    </row>
    <row r="93" spans="1:14" x14ac:dyDescent="0.35">
      <c r="A93" t="s">
        <v>12</v>
      </c>
      <c r="B93" t="s">
        <v>30</v>
      </c>
      <c r="C93" t="s">
        <v>14</v>
      </c>
      <c r="D93" t="s">
        <v>17</v>
      </c>
      <c r="E93" t="s">
        <v>21</v>
      </c>
      <c r="F93">
        <v>43</v>
      </c>
      <c r="G93">
        <v>5.22</v>
      </c>
      <c r="H93">
        <v>0.08</v>
      </c>
      <c r="I93">
        <v>0.86</v>
      </c>
      <c r="J93">
        <v>3.55</v>
      </c>
      <c r="K93">
        <v>0</v>
      </c>
      <c r="L93">
        <v>22.83</v>
      </c>
      <c r="M93">
        <f t="shared" si="2"/>
        <v>3.44</v>
      </c>
      <c r="N93">
        <f t="shared" si="3"/>
        <v>36.979999999999997</v>
      </c>
    </row>
    <row r="94" spans="1:14" x14ac:dyDescent="0.35">
      <c r="A94" t="s">
        <v>12</v>
      </c>
      <c r="B94" t="s">
        <v>30</v>
      </c>
      <c r="C94" t="s">
        <v>14</v>
      </c>
      <c r="D94" t="s">
        <v>18</v>
      </c>
      <c r="E94" t="s">
        <v>21</v>
      </c>
      <c r="F94">
        <v>76</v>
      </c>
      <c r="G94">
        <v>6.47</v>
      </c>
      <c r="H94">
        <v>0.02</v>
      </c>
      <c r="I94">
        <v>0.82</v>
      </c>
      <c r="J94">
        <v>3.96</v>
      </c>
      <c r="K94">
        <v>0</v>
      </c>
      <c r="L94">
        <v>24.7</v>
      </c>
      <c r="M94">
        <f t="shared" si="2"/>
        <v>1.52</v>
      </c>
      <c r="N94">
        <f t="shared" si="3"/>
        <v>62.319999999999993</v>
      </c>
    </row>
    <row r="95" spans="1:14" x14ac:dyDescent="0.35">
      <c r="A95" t="s">
        <v>12</v>
      </c>
      <c r="B95" t="s">
        <v>30</v>
      </c>
      <c r="C95" t="s">
        <v>20</v>
      </c>
      <c r="D95" t="s">
        <v>15</v>
      </c>
      <c r="E95" t="s">
        <v>19</v>
      </c>
      <c r="F95">
        <v>66</v>
      </c>
      <c r="G95">
        <v>6.65</v>
      </c>
      <c r="H95">
        <v>0.1</v>
      </c>
      <c r="I95">
        <v>0.83</v>
      </c>
      <c r="J95">
        <v>4.59</v>
      </c>
      <c r="K95">
        <v>0</v>
      </c>
      <c r="L95">
        <v>24.98</v>
      </c>
      <c r="M95">
        <f t="shared" si="2"/>
        <v>6.6000000000000005</v>
      </c>
      <c r="N95">
        <f t="shared" si="3"/>
        <v>54.779999999999994</v>
      </c>
    </row>
    <row r="96" spans="1:14" x14ac:dyDescent="0.35">
      <c r="A96" t="s">
        <v>12</v>
      </c>
      <c r="B96" t="s">
        <v>30</v>
      </c>
      <c r="C96" t="s">
        <v>20</v>
      </c>
      <c r="D96" t="s">
        <v>17</v>
      </c>
      <c r="E96" t="s">
        <v>16</v>
      </c>
      <c r="F96">
        <v>54</v>
      </c>
      <c r="G96">
        <v>6.22</v>
      </c>
      <c r="H96">
        <v>0.11</v>
      </c>
      <c r="I96">
        <v>0.87</v>
      </c>
      <c r="J96">
        <v>4.1500000000000004</v>
      </c>
      <c r="K96">
        <v>0</v>
      </c>
      <c r="L96">
        <v>24.33</v>
      </c>
      <c r="M96">
        <f t="shared" si="2"/>
        <v>5.94</v>
      </c>
      <c r="N96">
        <f t="shared" si="3"/>
        <v>46.98</v>
      </c>
    </row>
    <row r="97" spans="1:14" x14ac:dyDescent="0.35">
      <c r="A97" t="s">
        <v>12</v>
      </c>
      <c r="B97" t="s">
        <v>30</v>
      </c>
      <c r="C97" t="s">
        <v>20</v>
      </c>
      <c r="D97" t="s">
        <v>18</v>
      </c>
      <c r="E97" t="s">
        <v>16</v>
      </c>
      <c r="F97">
        <v>63</v>
      </c>
      <c r="G97">
        <v>6.91</v>
      </c>
      <c r="H97">
        <v>0.09</v>
      </c>
      <c r="I97">
        <v>0.75</v>
      </c>
      <c r="J97">
        <v>4.2300000000000004</v>
      </c>
      <c r="K97">
        <v>0</v>
      </c>
      <c r="L97">
        <v>25.36</v>
      </c>
      <c r="M97">
        <f t="shared" si="2"/>
        <v>5.67</v>
      </c>
      <c r="N97">
        <f t="shared" si="3"/>
        <v>47.25</v>
      </c>
    </row>
    <row r="98" spans="1:14" x14ac:dyDescent="0.35">
      <c r="A98" t="s">
        <v>12</v>
      </c>
      <c r="B98" t="s">
        <v>30</v>
      </c>
      <c r="C98" t="s">
        <v>22</v>
      </c>
      <c r="D98" t="s">
        <v>15</v>
      </c>
      <c r="E98" t="s">
        <v>16</v>
      </c>
      <c r="F98">
        <v>55</v>
      </c>
      <c r="G98">
        <v>4.58</v>
      </c>
      <c r="H98">
        <v>0.08</v>
      </c>
      <c r="I98">
        <v>0.8</v>
      </c>
      <c r="J98">
        <v>4.71</v>
      </c>
      <c r="K98">
        <v>0</v>
      </c>
      <c r="L98">
        <v>21.87</v>
      </c>
      <c r="M98">
        <f t="shared" si="2"/>
        <v>4.4000000000000004</v>
      </c>
      <c r="N98">
        <f t="shared" si="3"/>
        <v>44</v>
      </c>
    </row>
    <row r="99" spans="1:14" x14ac:dyDescent="0.35">
      <c r="A99" t="s">
        <v>12</v>
      </c>
      <c r="B99" t="s">
        <v>30</v>
      </c>
      <c r="C99" t="s">
        <v>22</v>
      </c>
      <c r="D99" t="s">
        <v>17</v>
      </c>
      <c r="E99" t="s">
        <v>19</v>
      </c>
      <c r="F99">
        <v>35</v>
      </c>
      <c r="G99">
        <v>6.6</v>
      </c>
      <c r="H99">
        <v>0.11</v>
      </c>
      <c r="I99">
        <v>0.77</v>
      </c>
      <c r="J99">
        <v>3.74</v>
      </c>
      <c r="K99">
        <v>0</v>
      </c>
      <c r="L99">
        <v>24.9</v>
      </c>
      <c r="M99">
        <f t="shared" si="2"/>
        <v>3.85</v>
      </c>
      <c r="N99">
        <f t="shared" si="3"/>
        <v>26.95</v>
      </c>
    </row>
    <row r="100" spans="1:14" x14ac:dyDescent="0.35">
      <c r="A100" t="s">
        <v>12</v>
      </c>
      <c r="B100" t="s">
        <v>30</v>
      </c>
      <c r="C100" t="s">
        <v>22</v>
      </c>
      <c r="D100" t="s">
        <v>18</v>
      </c>
      <c r="E100" t="s">
        <v>19</v>
      </c>
      <c r="F100">
        <v>38</v>
      </c>
      <c r="G100">
        <v>6.05</v>
      </c>
      <c r="H100">
        <v>0.15</v>
      </c>
      <c r="I100">
        <v>0.85</v>
      </c>
      <c r="J100">
        <v>3.65</v>
      </c>
      <c r="K100">
        <v>0</v>
      </c>
      <c r="L100">
        <v>24.08</v>
      </c>
      <c r="M100">
        <f t="shared" si="2"/>
        <v>5.7</v>
      </c>
      <c r="N100">
        <f t="shared" si="3"/>
        <v>32.299999999999997</v>
      </c>
    </row>
    <row r="101" spans="1:14" x14ac:dyDescent="0.35">
      <c r="A101" t="s">
        <v>12</v>
      </c>
      <c r="B101" t="s">
        <v>30</v>
      </c>
      <c r="C101" t="s">
        <v>23</v>
      </c>
      <c r="D101" t="s">
        <v>15</v>
      </c>
      <c r="E101" t="s">
        <v>21</v>
      </c>
      <c r="F101">
        <v>33</v>
      </c>
      <c r="G101">
        <v>5.17</v>
      </c>
      <c r="H101">
        <v>0.02</v>
      </c>
      <c r="I101">
        <v>0.9</v>
      </c>
      <c r="J101">
        <v>4.1399999999999997</v>
      </c>
      <c r="K101">
        <v>1</v>
      </c>
      <c r="L101">
        <v>24.76</v>
      </c>
      <c r="M101">
        <f t="shared" si="2"/>
        <v>0.66</v>
      </c>
      <c r="N101">
        <f t="shared" si="3"/>
        <v>29.7</v>
      </c>
    </row>
    <row r="102" spans="1:14" x14ac:dyDescent="0.35">
      <c r="A102" t="s">
        <v>12</v>
      </c>
      <c r="B102" t="s">
        <v>30</v>
      </c>
      <c r="C102" t="s">
        <v>23</v>
      </c>
      <c r="D102" t="s">
        <v>17</v>
      </c>
      <c r="E102" t="s">
        <v>21</v>
      </c>
      <c r="F102">
        <v>31</v>
      </c>
      <c r="G102">
        <v>8.0399999999999991</v>
      </c>
      <c r="H102">
        <v>0.06</v>
      </c>
      <c r="I102">
        <v>0.87</v>
      </c>
      <c r="J102">
        <v>3.74</v>
      </c>
      <c r="K102">
        <v>0</v>
      </c>
      <c r="L102">
        <v>27.06</v>
      </c>
      <c r="M102">
        <f t="shared" si="2"/>
        <v>1.8599999999999999</v>
      </c>
      <c r="N102">
        <f t="shared" si="3"/>
        <v>26.97</v>
      </c>
    </row>
    <row r="103" spans="1:14" x14ac:dyDescent="0.35">
      <c r="A103" t="s">
        <v>12</v>
      </c>
      <c r="B103" t="s">
        <v>30</v>
      </c>
      <c r="C103" t="s">
        <v>23</v>
      </c>
      <c r="D103" t="s">
        <v>18</v>
      </c>
      <c r="E103" t="s">
        <v>16</v>
      </c>
      <c r="F103">
        <v>62</v>
      </c>
      <c r="G103">
        <v>7.62</v>
      </c>
      <c r="H103">
        <v>0.12</v>
      </c>
      <c r="I103">
        <v>0.73</v>
      </c>
      <c r="J103">
        <v>4.42</v>
      </c>
      <c r="K103">
        <v>1</v>
      </c>
      <c r="L103">
        <v>28.43</v>
      </c>
      <c r="M103">
        <f t="shared" si="2"/>
        <v>7.4399999999999995</v>
      </c>
      <c r="N103">
        <f t="shared" si="3"/>
        <v>45.26</v>
      </c>
    </row>
    <row r="104" spans="1:14" x14ac:dyDescent="0.35">
      <c r="A104" t="s">
        <v>12</v>
      </c>
      <c r="B104" t="s">
        <v>30</v>
      </c>
      <c r="C104" t="s">
        <v>24</v>
      </c>
      <c r="D104" t="s">
        <v>15</v>
      </c>
      <c r="E104" t="s">
        <v>19</v>
      </c>
      <c r="F104">
        <v>40</v>
      </c>
      <c r="G104">
        <v>5.8</v>
      </c>
      <c r="H104">
        <v>0.2</v>
      </c>
      <c r="I104">
        <v>0.81</v>
      </c>
      <c r="J104">
        <v>4.09</v>
      </c>
      <c r="K104">
        <v>0</v>
      </c>
      <c r="L104">
        <v>23.7</v>
      </c>
      <c r="M104">
        <f t="shared" si="2"/>
        <v>8</v>
      </c>
      <c r="N104">
        <f t="shared" si="3"/>
        <v>32.400000000000006</v>
      </c>
    </row>
    <row r="105" spans="1:14" x14ac:dyDescent="0.35">
      <c r="A105" t="s">
        <v>12</v>
      </c>
      <c r="B105" t="s">
        <v>30</v>
      </c>
      <c r="C105" t="s">
        <v>24</v>
      </c>
      <c r="D105" t="s">
        <v>17</v>
      </c>
      <c r="E105" t="s">
        <v>16</v>
      </c>
      <c r="F105">
        <v>31</v>
      </c>
      <c r="G105">
        <v>6.48</v>
      </c>
      <c r="H105">
        <v>0.06</v>
      </c>
      <c r="I105">
        <v>0.87</v>
      </c>
      <c r="J105">
        <v>3.83</v>
      </c>
      <c r="K105">
        <v>1</v>
      </c>
      <c r="L105">
        <v>26.72</v>
      </c>
      <c r="M105">
        <f t="shared" si="2"/>
        <v>1.8599999999999999</v>
      </c>
      <c r="N105">
        <f t="shared" si="3"/>
        <v>26.97</v>
      </c>
    </row>
    <row r="106" spans="1:14" x14ac:dyDescent="0.35">
      <c r="A106" t="s">
        <v>12</v>
      </c>
      <c r="B106" t="s">
        <v>30</v>
      </c>
      <c r="C106" t="s">
        <v>24</v>
      </c>
      <c r="D106" t="s">
        <v>18</v>
      </c>
      <c r="E106" t="s">
        <v>21</v>
      </c>
      <c r="F106">
        <v>40</v>
      </c>
      <c r="G106">
        <v>8.39</v>
      </c>
      <c r="H106">
        <v>0.12</v>
      </c>
      <c r="I106">
        <v>0.63</v>
      </c>
      <c r="J106">
        <v>4.6100000000000003</v>
      </c>
      <c r="K106">
        <v>1</v>
      </c>
      <c r="L106">
        <v>29.58</v>
      </c>
      <c r="M106">
        <f t="shared" si="2"/>
        <v>4.8</v>
      </c>
      <c r="N106">
        <f t="shared" si="3"/>
        <v>25.2</v>
      </c>
    </row>
    <row r="107" spans="1:14" x14ac:dyDescent="0.35">
      <c r="A107" t="s">
        <v>12</v>
      </c>
      <c r="B107" t="s">
        <v>31</v>
      </c>
      <c r="C107" t="s">
        <v>14</v>
      </c>
      <c r="D107" t="s">
        <v>15</v>
      </c>
      <c r="E107" t="s">
        <v>16</v>
      </c>
      <c r="F107">
        <v>40</v>
      </c>
      <c r="G107">
        <v>5.4</v>
      </c>
      <c r="H107">
        <v>0.14000000000000001</v>
      </c>
      <c r="I107">
        <v>0.78</v>
      </c>
      <c r="J107">
        <v>3.59</v>
      </c>
      <c r="K107">
        <v>1</v>
      </c>
      <c r="L107">
        <v>25.1</v>
      </c>
      <c r="M107">
        <f t="shared" si="2"/>
        <v>5.6000000000000005</v>
      </c>
      <c r="N107">
        <f t="shared" si="3"/>
        <v>31.200000000000003</v>
      </c>
    </row>
    <row r="108" spans="1:14" x14ac:dyDescent="0.35">
      <c r="A108" t="s">
        <v>12</v>
      </c>
      <c r="B108" t="s">
        <v>31</v>
      </c>
      <c r="C108" t="s">
        <v>14</v>
      </c>
      <c r="D108" t="s">
        <v>17</v>
      </c>
      <c r="E108" t="s">
        <v>16</v>
      </c>
      <c r="F108">
        <v>58</v>
      </c>
      <c r="G108">
        <v>6.34</v>
      </c>
      <c r="H108">
        <v>0.05</v>
      </c>
      <c r="I108">
        <v>0.77</v>
      </c>
      <c r="J108">
        <v>3.71</v>
      </c>
      <c r="K108">
        <v>2</v>
      </c>
      <c r="L108">
        <v>28.51</v>
      </c>
      <c r="M108">
        <f t="shared" si="2"/>
        <v>2.9000000000000004</v>
      </c>
      <c r="N108">
        <f t="shared" si="3"/>
        <v>44.660000000000004</v>
      </c>
    </row>
    <row r="109" spans="1:14" x14ac:dyDescent="0.35">
      <c r="A109" t="s">
        <v>12</v>
      </c>
      <c r="B109" t="s">
        <v>31</v>
      </c>
      <c r="C109" t="s">
        <v>14</v>
      </c>
      <c r="D109" t="s">
        <v>18</v>
      </c>
      <c r="E109" t="s">
        <v>16</v>
      </c>
      <c r="F109">
        <v>55</v>
      </c>
      <c r="G109">
        <v>5.59</v>
      </c>
      <c r="H109">
        <v>0.14000000000000001</v>
      </c>
      <c r="I109">
        <v>0.68</v>
      </c>
      <c r="J109">
        <v>4.26</v>
      </c>
      <c r="K109">
        <v>1</v>
      </c>
      <c r="L109">
        <v>25.38</v>
      </c>
      <c r="M109">
        <f t="shared" si="2"/>
        <v>7.7000000000000011</v>
      </c>
      <c r="N109">
        <f t="shared" si="3"/>
        <v>37.400000000000006</v>
      </c>
    </row>
    <row r="110" spans="1:14" x14ac:dyDescent="0.35">
      <c r="A110" t="s">
        <v>12</v>
      </c>
      <c r="B110" t="s">
        <v>31</v>
      </c>
      <c r="C110" t="s">
        <v>20</v>
      </c>
      <c r="D110" t="s">
        <v>15</v>
      </c>
      <c r="E110" t="s">
        <v>16</v>
      </c>
      <c r="F110">
        <v>69</v>
      </c>
      <c r="G110">
        <v>5.32</v>
      </c>
      <c r="H110">
        <v>0.06</v>
      </c>
      <c r="I110">
        <v>0.86</v>
      </c>
      <c r="J110">
        <v>4.1500000000000004</v>
      </c>
      <c r="K110">
        <v>0</v>
      </c>
      <c r="L110">
        <v>22.98</v>
      </c>
      <c r="M110">
        <f t="shared" si="2"/>
        <v>4.1399999999999997</v>
      </c>
      <c r="N110">
        <f t="shared" si="3"/>
        <v>59.339999999999996</v>
      </c>
    </row>
    <row r="111" spans="1:14" x14ac:dyDescent="0.35">
      <c r="A111" t="s">
        <v>12</v>
      </c>
      <c r="B111" t="s">
        <v>31</v>
      </c>
      <c r="C111" t="s">
        <v>20</v>
      </c>
      <c r="D111" t="s">
        <v>17</v>
      </c>
      <c r="E111" t="s">
        <v>21</v>
      </c>
      <c r="F111">
        <v>31</v>
      </c>
      <c r="G111">
        <v>3.77</v>
      </c>
      <c r="H111">
        <v>0.09</v>
      </c>
      <c r="I111">
        <v>0.89</v>
      </c>
      <c r="J111">
        <v>4.3099999999999996</v>
      </c>
      <c r="K111">
        <v>0</v>
      </c>
      <c r="L111">
        <v>20.66</v>
      </c>
      <c r="M111">
        <f t="shared" si="2"/>
        <v>2.79</v>
      </c>
      <c r="N111">
        <f t="shared" si="3"/>
        <v>27.59</v>
      </c>
    </row>
    <row r="112" spans="1:14" x14ac:dyDescent="0.35">
      <c r="A112" t="s">
        <v>12</v>
      </c>
      <c r="B112" t="s">
        <v>31</v>
      </c>
      <c r="C112" t="s">
        <v>20</v>
      </c>
      <c r="D112" t="s">
        <v>18</v>
      </c>
      <c r="E112" t="s">
        <v>21</v>
      </c>
      <c r="F112">
        <v>36</v>
      </c>
      <c r="G112">
        <v>6.92</v>
      </c>
      <c r="H112">
        <v>0.04</v>
      </c>
      <c r="I112">
        <v>0.82</v>
      </c>
      <c r="J112">
        <v>4.1399999999999997</v>
      </c>
      <c r="K112">
        <v>1</v>
      </c>
      <c r="L112">
        <v>27.38</v>
      </c>
      <c r="M112">
        <f t="shared" si="2"/>
        <v>1.44</v>
      </c>
      <c r="N112">
        <f t="shared" si="3"/>
        <v>29.52</v>
      </c>
    </row>
    <row r="113" spans="1:14" x14ac:dyDescent="0.35">
      <c r="A113" t="s">
        <v>12</v>
      </c>
      <c r="B113" t="s">
        <v>31</v>
      </c>
      <c r="C113" t="s">
        <v>22</v>
      </c>
      <c r="D113" t="s">
        <v>15</v>
      </c>
      <c r="E113" t="s">
        <v>16</v>
      </c>
      <c r="F113">
        <v>58</v>
      </c>
      <c r="G113">
        <v>7.09</v>
      </c>
      <c r="H113">
        <v>0.04</v>
      </c>
      <c r="I113">
        <v>0.8</v>
      </c>
      <c r="J113">
        <v>3.82</v>
      </c>
      <c r="K113">
        <v>1</v>
      </c>
      <c r="L113">
        <v>27.64</v>
      </c>
      <c r="M113">
        <f t="shared" si="2"/>
        <v>2.3199999999999998</v>
      </c>
      <c r="N113">
        <f t="shared" si="3"/>
        <v>46.400000000000006</v>
      </c>
    </row>
    <row r="114" spans="1:14" x14ac:dyDescent="0.35">
      <c r="A114" t="s">
        <v>12</v>
      </c>
      <c r="B114" t="s">
        <v>31</v>
      </c>
      <c r="C114" t="s">
        <v>22</v>
      </c>
      <c r="D114" t="s">
        <v>17</v>
      </c>
      <c r="E114" t="s">
        <v>19</v>
      </c>
      <c r="F114">
        <v>51</v>
      </c>
      <c r="G114">
        <v>5.95</v>
      </c>
      <c r="H114">
        <v>0.24</v>
      </c>
      <c r="I114">
        <v>0.77</v>
      </c>
      <c r="J114">
        <v>4.2</v>
      </c>
      <c r="K114">
        <v>0</v>
      </c>
      <c r="L114">
        <v>23.92</v>
      </c>
      <c r="M114">
        <f t="shared" si="2"/>
        <v>12.24</v>
      </c>
      <c r="N114">
        <f t="shared" si="3"/>
        <v>39.270000000000003</v>
      </c>
    </row>
    <row r="115" spans="1:14" x14ac:dyDescent="0.35">
      <c r="A115" t="s">
        <v>12</v>
      </c>
      <c r="B115" t="s">
        <v>31</v>
      </c>
      <c r="C115" t="s">
        <v>22</v>
      </c>
      <c r="D115" t="s">
        <v>18</v>
      </c>
      <c r="E115" t="s">
        <v>16</v>
      </c>
      <c r="F115">
        <v>44</v>
      </c>
      <c r="G115">
        <v>7.84</v>
      </c>
      <c r="H115">
        <v>0.12</v>
      </c>
      <c r="I115">
        <v>0.64</v>
      </c>
      <c r="J115">
        <v>3.8</v>
      </c>
      <c r="K115">
        <v>1</v>
      </c>
      <c r="L115">
        <v>28.76</v>
      </c>
      <c r="M115">
        <f t="shared" si="2"/>
        <v>5.2799999999999994</v>
      </c>
      <c r="N115">
        <f t="shared" si="3"/>
        <v>28.16</v>
      </c>
    </row>
    <row r="116" spans="1:14" x14ac:dyDescent="0.35">
      <c r="A116" t="s">
        <v>12</v>
      </c>
      <c r="B116" t="s">
        <v>31</v>
      </c>
      <c r="C116" t="s">
        <v>23</v>
      </c>
      <c r="D116" t="s">
        <v>15</v>
      </c>
      <c r="E116" t="s">
        <v>21</v>
      </c>
      <c r="F116">
        <v>60</v>
      </c>
      <c r="G116">
        <v>7.33</v>
      </c>
      <c r="H116">
        <v>0.11</v>
      </c>
      <c r="I116">
        <v>0.84</v>
      </c>
      <c r="J116">
        <v>4.57</v>
      </c>
      <c r="K116">
        <v>3</v>
      </c>
      <c r="L116">
        <v>32</v>
      </c>
      <c r="M116">
        <f t="shared" si="2"/>
        <v>6.6</v>
      </c>
      <c r="N116">
        <f t="shared" si="3"/>
        <v>50.4</v>
      </c>
    </row>
    <row r="117" spans="1:14" x14ac:dyDescent="0.35">
      <c r="A117" t="s">
        <v>12</v>
      </c>
      <c r="B117" t="s">
        <v>31</v>
      </c>
      <c r="C117" t="s">
        <v>23</v>
      </c>
      <c r="D117" t="s">
        <v>17</v>
      </c>
      <c r="E117" t="s">
        <v>16</v>
      </c>
      <c r="F117">
        <v>35</v>
      </c>
      <c r="G117">
        <v>8</v>
      </c>
      <c r="H117">
        <v>7.0000000000000007E-2</v>
      </c>
      <c r="I117">
        <v>0.82</v>
      </c>
      <c r="J117">
        <v>4.7300000000000004</v>
      </c>
      <c r="K117">
        <v>0</v>
      </c>
      <c r="L117">
        <v>27</v>
      </c>
      <c r="M117">
        <f t="shared" si="2"/>
        <v>2.4500000000000002</v>
      </c>
      <c r="N117">
        <f t="shared" si="3"/>
        <v>28.7</v>
      </c>
    </row>
    <row r="118" spans="1:14" x14ac:dyDescent="0.35">
      <c r="A118" t="s">
        <v>12</v>
      </c>
      <c r="B118" t="s">
        <v>31</v>
      </c>
      <c r="C118" t="s">
        <v>23</v>
      </c>
      <c r="D118" t="s">
        <v>18</v>
      </c>
      <c r="E118" t="s">
        <v>16</v>
      </c>
      <c r="F118">
        <v>47</v>
      </c>
      <c r="G118">
        <v>5.8</v>
      </c>
      <c r="H118">
        <v>0.13</v>
      </c>
      <c r="I118">
        <v>0.83</v>
      </c>
      <c r="J118">
        <v>4.2300000000000004</v>
      </c>
      <c r="K118">
        <v>1</v>
      </c>
      <c r="L118">
        <v>25.7</v>
      </c>
      <c r="M118">
        <f t="shared" si="2"/>
        <v>6.11</v>
      </c>
      <c r="N118">
        <f t="shared" si="3"/>
        <v>39.01</v>
      </c>
    </row>
    <row r="119" spans="1:14" x14ac:dyDescent="0.35">
      <c r="A119" t="s">
        <v>12</v>
      </c>
      <c r="B119" t="s">
        <v>31</v>
      </c>
      <c r="C119" t="s">
        <v>24</v>
      </c>
      <c r="D119" t="s">
        <v>15</v>
      </c>
      <c r="E119" t="s">
        <v>21</v>
      </c>
      <c r="F119">
        <v>37</v>
      </c>
      <c r="G119">
        <v>6.05</v>
      </c>
      <c r="H119">
        <v>0.1</v>
      </c>
      <c r="I119">
        <v>0.87</v>
      </c>
      <c r="J119">
        <v>3.99</v>
      </c>
      <c r="K119">
        <v>0</v>
      </c>
      <c r="L119">
        <v>24.08</v>
      </c>
      <c r="M119">
        <f t="shared" si="2"/>
        <v>3.7</v>
      </c>
      <c r="N119">
        <f t="shared" si="3"/>
        <v>32.19</v>
      </c>
    </row>
    <row r="120" spans="1:14" x14ac:dyDescent="0.35">
      <c r="A120" t="s">
        <v>12</v>
      </c>
      <c r="B120" t="s">
        <v>31</v>
      </c>
      <c r="C120" t="s">
        <v>24</v>
      </c>
      <c r="D120" t="s">
        <v>17</v>
      </c>
      <c r="E120" t="s">
        <v>19</v>
      </c>
      <c r="F120">
        <v>43</v>
      </c>
      <c r="G120">
        <v>5.01</v>
      </c>
      <c r="H120">
        <v>0.3</v>
      </c>
      <c r="I120">
        <v>0.88</v>
      </c>
      <c r="J120">
        <v>3.66</v>
      </c>
      <c r="K120">
        <v>2</v>
      </c>
      <c r="L120">
        <v>26.52</v>
      </c>
      <c r="M120">
        <f t="shared" si="2"/>
        <v>12.9</v>
      </c>
      <c r="N120">
        <f t="shared" si="3"/>
        <v>37.840000000000003</v>
      </c>
    </row>
    <row r="121" spans="1:14" x14ac:dyDescent="0.35">
      <c r="A121" t="s">
        <v>12</v>
      </c>
      <c r="B121" t="s">
        <v>31</v>
      </c>
      <c r="C121" t="s">
        <v>24</v>
      </c>
      <c r="D121" t="s">
        <v>18</v>
      </c>
      <c r="E121" t="s">
        <v>21</v>
      </c>
      <c r="F121">
        <v>69</v>
      </c>
      <c r="G121">
        <v>5.87</v>
      </c>
      <c r="H121">
        <v>0.1</v>
      </c>
      <c r="I121">
        <v>0.69</v>
      </c>
      <c r="J121">
        <v>4.47</v>
      </c>
      <c r="K121">
        <v>0</v>
      </c>
      <c r="L121">
        <v>23.8</v>
      </c>
      <c r="M121">
        <f t="shared" si="2"/>
        <v>6.9</v>
      </c>
      <c r="N121">
        <f t="shared" si="3"/>
        <v>47.61</v>
      </c>
    </row>
    <row r="122" spans="1:14" x14ac:dyDescent="0.35">
      <c r="A122" t="s">
        <v>12</v>
      </c>
      <c r="B122" t="s">
        <v>32</v>
      </c>
      <c r="C122" t="s">
        <v>14</v>
      </c>
      <c r="D122" t="s">
        <v>15</v>
      </c>
      <c r="E122" t="s">
        <v>21</v>
      </c>
      <c r="F122">
        <v>55</v>
      </c>
      <c r="G122">
        <v>4.99</v>
      </c>
      <c r="H122">
        <v>0.09</v>
      </c>
      <c r="I122">
        <v>0.89</v>
      </c>
      <c r="J122">
        <v>3.95</v>
      </c>
      <c r="K122">
        <v>0</v>
      </c>
      <c r="L122">
        <v>22.48</v>
      </c>
      <c r="M122">
        <f t="shared" si="2"/>
        <v>4.95</v>
      </c>
      <c r="N122">
        <f t="shared" si="3"/>
        <v>48.95</v>
      </c>
    </row>
    <row r="123" spans="1:14" x14ac:dyDescent="0.35">
      <c r="A123" t="s">
        <v>12</v>
      </c>
      <c r="B123" t="s">
        <v>32</v>
      </c>
      <c r="C123" t="s">
        <v>14</v>
      </c>
      <c r="D123" t="s">
        <v>17</v>
      </c>
      <c r="E123" t="s">
        <v>21</v>
      </c>
      <c r="F123">
        <v>46</v>
      </c>
      <c r="G123">
        <v>4.3499999999999996</v>
      </c>
      <c r="H123">
        <v>0.1</v>
      </c>
      <c r="I123">
        <v>0.75</v>
      </c>
      <c r="J123">
        <v>4.6900000000000004</v>
      </c>
      <c r="K123">
        <v>0</v>
      </c>
      <c r="L123">
        <v>21.52</v>
      </c>
      <c r="M123">
        <f t="shared" si="2"/>
        <v>4.6000000000000005</v>
      </c>
      <c r="N123">
        <f t="shared" si="3"/>
        <v>34.5</v>
      </c>
    </row>
    <row r="124" spans="1:14" x14ac:dyDescent="0.35">
      <c r="A124" t="s">
        <v>12</v>
      </c>
      <c r="B124" t="s">
        <v>32</v>
      </c>
      <c r="C124" t="s">
        <v>14</v>
      </c>
      <c r="D124" t="s">
        <v>18</v>
      </c>
      <c r="E124" t="s">
        <v>16</v>
      </c>
      <c r="F124">
        <v>35</v>
      </c>
      <c r="G124">
        <v>5.28</v>
      </c>
      <c r="H124">
        <v>0.05</v>
      </c>
      <c r="I124">
        <v>0.65</v>
      </c>
      <c r="J124">
        <v>4.17</v>
      </c>
      <c r="K124">
        <v>3</v>
      </c>
      <c r="L124">
        <v>28.92</v>
      </c>
      <c r="M124">
        <f t="shared" si="2"/>
        <v>1.75</v>
      </c>
      <c r="N124">
        <f t="shared" si="3"/>
        <v>22.75</v>
      </c>
    </row>
    <row r="125" spans="1:14" x14ac:dyDescent="0.35">
      <c r="A125" t="s">
        <v>12</v>
      </c>
      <c r="B125" t="s">
        <v>32</v>
      </c>
      <c r="C125" t="s">
        <v>20</v>
      </c>
      <c r="D125" t="s">
        <v>15</v>
      </c>
      <c r="E125" t="s">
        <v>16</v>
      </c>
      <c r="F125">
        <v>49</v>
      </c>
      <c r="G125">
        <v>6.91</v>
      </c>
      <c r="H125">
        <v>7.0000000000000007E-2</v>
      </c>
      <c r="I125">
        <v>0.76</v>
      </c>
      <c r="J125">
        <v>4.8</v>
      </c>
      <c r="K125">
        <v>0</v>
      </c>
      <c r="L125">
        <v>25.36</v>
      </c>
      <c r="M125">
        <f t="shared" si="2"/>
        <v>3.43</v>
      </c>
      <c r="N125">
        <f t="shared" si="3"/>
        <v>37.24</v>
      </c>
    </row>
    <row r="126" spans="1:14" x14ac:dyDescent="0.35">
      <c r="A126" t="s">
        <v>12</v>
      </c>
      <c r="B126" t="s">
        <v>32</v>
      </c>
      <c r="C126" t="s">
        <v>20</v>
      </c>
      <c r="D126" t="s">
        <v>17</v>
      </c>
      <c r="E126" t="s">
        <v>16</v>
      </c>
      <c r="F126">
        <v>42</v>
      </c>
      <c r="G126">
        <v>4.6399999999999997</v>
      </c>
      <c r="H126">
        <v>0.12</v>
      </c>
      <c r="I126">
        <v>0.8</v>
      </c>
      <c r="J126">
        <v>4.1100000000000003</v>
      </c>
      <c r="K126">
        <v>1</v>
      </c>
      <c r="L126">
        <v>23.96</v>
      </c>
      <c r="M126">
        <f t="shared" si="2"/>
        <v>5.04</v>
      </c>
      <c r="N126">
        <f t="shared" si="3"/>
        <v>33.6</v>
      </c>
    </row>
    <row r="127" spans="1:14" x14ac:dyDescent="0.35">
      <c r="A127" t="s">
        <v>12</v>
      </c>
      <c r="B127" t="s">
        <v>32</v>
      </c>
      <c r="C127" t="s">
        <v>20</v>
      </c>
      <c r="D127" t="s">
        <v>18</v>
      </c>
      <c r="E127" t="s">
        <v>16</v>
      </c>
      <c r="F127">
        <v>45</v>
      </c>
      <c r="G127">
        <v>4.09</v>
      </c>
      <c r="H127">
        <v>0.09</v>
      </c>
      <c r="I127">
        <v>0.62</v>
      </c>
      <c r="J127">
        <v>4.51</v>
      </c>
      <c r="K127">
        <v>0</v>
      </c>
      <c r="L127">
        <v>21.14</v>
      </c>
      <c r="M127">
        <f t="shared" si="2"/>
        <v>4.05</v>
      </c>
      <c r="N127">
        <f t="shared" si="3"/>
        <v>27.9</v>
      </c>
    </row>
    <row r="128" spans="1:14" x14ac:dyDescent="0.35">
      <c r="A128" t="s">
        <v>12</v>
      </c>
      <c r="B128" t="s">
        <v>32</v>
      </c>
      <c r="C128" t="s">
        <v>22</v>
      </c>
      <c r="D128" t="s">
        <v>15</v>
      </c>
      <c r="E128" t="s">
        <v>16</v>
      </c>
      <c r="F128">
        <v>57</v>
      </c>
      <c r="G128">
        <v>5.44</v>
      </c>
      <c r="H128">
        <v>0.12</v>
      </c>
      <c r="I128">
        <v>0.77</v>
      </c>
      <c r="J128">
        <v>3.93</v>
      </c>
      <c r="K128">
        <v>0</v>
      </c>
      <c r="L128">
        <v>23.16</v>
      </c>
      <c r="M128">
        <f t="shared" si="2"/>
        <v>6.84</v>
      </c>
      <c r="N128">
        <f t="shared" si="3"/>
        <v>43.89</v>
      </c>
    </row>
    <row r="129" spans="1:14" x14ac:dyDescent="0.35">
      <c r="A129" t="s">
        <v>12</v>
      </c>
      <c r="B129" t="s">
        <v>32</v>
      </c>
      <c r="C129" t="s">
        <v>22</v>
      </c>
      <c r="D129" t="s">
        <v>17</v>
      </c>
      <c r="E129" t="s">
        <v>21</v>
      </c>
      <c r="F129">
        <v>39</v>
      </c>
      <c r="G129">
        <v>2.4300000000000002</v>
      </c>
      <c r="H129">
        <v>0.06</v>
      </c>
      <c r="I129">
        <v>0.85</v>
      </c>
      <c r="J129">
        <v>4.03</v>
      </c>
      <c r="K129">
        <v>0</v>
      </c>
      <c r="L129">
        <v>18.64</v>
      </c>
      <c r="M129">
        <f t="shared" si="2"/>
        <v>2.34</v>
      </c>
      <c r="N129">
        <f t="shared" si="3"/>
        <v>33.15</v>
      </c>
    </row>
    <row r="130" spans="1:14" x14ac:dyDescent="0.35">
      <c r="A130" t="s">
        <v>12</v>
      </c>
      <c r="B130" t="s">
        <v>32</v>
      </c>
      <c r="C130" t="s">
        <v>22</v>
      </c>
      <c r="D130" t="s">
        <v>18</v>
      </c>
      <c r="E130" t="s">
        <v>19</v>
      </c>
      <c r="F130">
        <v>79</v>
      </c>
      <c r="G130">
        <v>5.74</v>
      </c>
      <c r="H130">
        <v>0.19</v>
      </c>
      <c r="I130">
        <v>0.66</v>
      </c>
      <c r="J130">
        <v>3.75</v>
      </c>
      <c r="K130">
        <v>0</v>
      </c>
      <c r="L130">
        <v>23.61</v>
      </c>
      <c r="M130">
        <f t="shared" si="2"/>
        <v>15.01</v>
      </c>
      <c r="N130">
        <f t="shared" si="3"/>
        <v>52.14</v>
      </c>
    </row>
    <row r="131" spans="1:14" x14ac:dyDescent="0.35">
      <c r="A131" t="s">
        <v>12</v>
      </c>
      <c r="B131" t="s">
        <v>32</v>
      </c>
      <c r="C131" t="s">
        <v>23</v>
      </c>
      <c r="D131" t="s">
        <v>15</v>
      </c>
      <c r="E131" t="s">
        <v>16</v>
      </c>
      <c r="F131">
        <v>76</v>
      </c>
      <c r="G131">
        <v>7.02</v>
      </c>
      <c r="H131">
        <v>0.09</v>
      </c>
      <c r="I131">
        <v>0.88</v>
      </c>
      <c r="J131">
        <v>4.22</v>
      </c>
      <c r="K131">
        <v>1</v>
      </c>
      <c r="L131">
        <v>27.53</v>
      </c>
      <c r="M131">
        <f t="shared" ref="M131:M194" si="4">SUM(F131*H131)</f>
        <v>6.84</v>
      </c>
      <c r="N131">
        <f t="shared" ref="N131:N194" si="5">SUM(I131*F131)</f>
        <v>66.88</v>
      </c>
    </row>
    <row r="132" spans="1:14" x14ac:dyDescent="0.35">
      <c r="A132" t="s">
        <v>12</v>
      </c>
      <c r="B132" t="s">
        <v>32</v>
      </c>
      <c r="C132" t="s">
        <v>23</v>
      </c>
      <c r="D132" t="s">
        <v>17</v>
      </c>
      <c r="E132" t="s">
        <v>21</v>
      </c>
      <c r="F132">
        <v>53</v>
      </c>
      <c r="G132">
        <v>6.71</v>
      </c>
      <c r="H132">
        <v>0.13</v>
      </c>
      <c r="I132">
        <v>0.81</v>
      </c>
      <c r="J132">
        <v>4.37</v>
      </c>
      <c r="K132">
        <v>0</v>
      </c>
      <c r="L132">
        <v>25.06</v>
      </c>
      <c r="M132">
        <f t="shared" si="4"/>
        <v>6.8900000000000006</v>
      </c>
      <c r="N132">
        <f t="shared" si="5"/>
        <v>42.93</v>
      </c>
    </row>
    <row r="133" spans="1:14" x14ac:dyDescent="0.35">
      <c r="A133" t="s">
        <v>12</v>
      </c>
      <c r="B133" t="s">
        <v>32</v>
      </c>
      <c r="C133" t="s">
        <v>23</v>
      </c>
      <c r="D133" t="s">
        <v>18</v>
      </c>
      <c r="E133" t="s">
        <v>19</v>
      </c>
      <c r="F133">
        <v>77</v>
      </c>
      <c r="G133">
        <v>6.44</v>
      </c>
      <c r="H133">
        <v>7.0000000000000007E-2</v>
      </c>
      <c r="I133">
        <v>0.76</v>
      </c>
      <c r="J133">
        <v>4.46</v>
      </c>
      <c r="K133">
        <v>2</v>
      </c>
      <c r="L133">
        <v>28.66</v>
      </c>
      <c r="M133">
        <f t="shared" si="4"/>
        <v>5.3900000000000006</v>
      </c>
      <c r="N133">
        <f t="shared" si="5"/>
        <v>58.52</v>
      </c>
    </row>
    <row r="134" spans="1:14" x14ac:dyDescent="0.35">
      <c r="A134" t="s">
        <v>12</v>
      </c>
      <c r="B134" t="s">
        <v>32</v>
      </c>
      <c r="C134" t="s">
        <v>24</v>
      </c>
      <c r="D134" t="s">
        <v>15</v>
      </c>
      <c r="E134" t="s">
        <v>19</v>
      </c>
      <c r="F134">
        <v>48</v>
      </c>
      <c r="G134">
        <v>4.33</v>
      </c>
      <c r="H134">
        <v>0.27</v>
      </c>
      <c r="I134">
        <v>0.87</v>
      </c>
      <c r="J134">
        <v>3.94</v>
      </c>
      <c r="K134">
        <v>0</v>
      </c>
      <c r="L134">
        <v>21.5</v>
      </c>
      <c r="M134">
        <f t="shared" si="4"/>
        <v>12.96</v>
      </c>
      <c r="N134">
        <f t="shared" si="5"/>
        <v>41.76</v>
      </c>
    </row>
    <row r="135" spans="1:14" x14ac:dyDescent="0.35">
      <c r="A135" t="s">
        <v>12</v>
      </c>
      <c r="B135" t="s">
        <v>32</v>
      </c>
      <c r="C135" t="s">
        <v>24</v>
      </c>
      <c r="D135" t="s">
        <v>17</v>
      </c>
      <c r="E135" t="s">
        <v>16</v>
      </c>
      <c r="F135">
        <v>52</v>
      </c>
      <c r="G135">
        <v>7.76</v>
      </c>
      <c r="H135">
        <v>0.02</v>
      </c>
      <c r="I135">
        <v>0.87</v>
      </c>
      <c r="J135">
        <v>3.95</v>
      </c>
      <c r="K135">
        <v>1</v>
      </c>
      <c r="L135">
        <v>28.64</v>
      </c>
      <c r="M135">
        <f t="shared" si="4"/>
        <v>1.04</v>
      </c>
      <c r="N135">
        <f t="shared" si="5"/>
        <v>45.24</v>
      </c>
    </row>
    <row r="136" spans="1:14" x14ac:dyDescent="0.35">
      <c r="A136" t="s">
        <v>12</v>
      </c>
      <c r="B136" t="s">
        <v>32</v>
      </c>
      <c r="C136" t="s">
        <v>24</v>
      </c>
      <c r="D136" t="s">
        <v>18</v>
      </c>
      <c r="E136" t="s">
        <v>16</v>
      </c>
      <c r="F136">
        <v>73</v>
      </c>
      <c r="G136">
        <v>5.64</v>
      </c>
      <c r="H136">
        <v>0.09</v>
      </c>
      <c r="I136">
        <v>0.85</v>
      </c>
      <c r="J136">
        <v>4.1100000000000003</v>
      </c>
      <c r="K136">
        <v>0</v>
      </c>
      <c r="L136">
        <v>23.46</v>
      </c>
      <c r="M136">
        <f t="shared" si="4"/>
        <v>6.5699999999999994</v>
      </c>
      <c r="N136">
        <f t="shared" si="5"/>
        <v>62.05</v>
      </c>
    </row>
    <row r="137" spans="1:14" x14ac:dyDescent="0.35">
      <c r="A137" t="s">
        <v>12</v>
      </c>
      <c r="B137" t="s">
        <v>33</v>
      </c>
      <c r="C137" t="s">
        <v>14</v>
      </c>
      <c r="D137" t="s">
        <v>15</v>
      </c>
      <c r="E137" t="s">
        <v>16</v>
      </c>
      <c r="F137">
        <v>46</v>
      </c>
      <c r="G137">
        <v>6.26</v>
      </c>
      <c r="H137">
        <v>0.05</v>
      </c>
      <c r="I137">
        <v>0.83</v>
      </c>
      <c r="J137">
        <v>4.32</v>
      </c>
      <c r="K137">
        <v>0</v>
      </c>
      <c r="L137">
        <v>24.39</v>
      </c>
      <c r="M137">
        <f t="shared" si="4"/>
        <v>2.3000000000000003</v>
      </c>
      <c r="N137">
        <f t="shared" si="5"/>
        <v>38.18</v>
      </c>
    </row>
    <row r="138" spans="1:14" x14ac:dyDescent="0.35">
      <c r="A138" t="s">
        <v>12</v>
      </c>
      <c r="B138" t="s">
        <v>33</v>
      </c>
      <c r="C138" t="s">
        <v>14</v>
      </c>
      <c r="D138" t="s">
        <v>17</v>
      </c>
      <c r="E138" t="s">
        <v>19</v>
      </c>
      <c r="F138">
        <v>72</v>
      </c>
      <c r="G138">
        <v>4.96</v>
      </c>
      <c r="H138">
        <v>0.28000000000000003</v>
      </c>
      <c r="I138">
        <v>0.85</v>
      </c>
      <c r="J138">
        <v>4.3899999999999997</v>
      </c>
      <c r="K138">
        <v>2</v>
      </c>
      <c r="L138">
        <v>26.44</v>
      </c>
      <c r="M138">
        <f t="shared" si="4"/>
        <v>20.160000000000004</v>
      </c>
      <c r="N138">
        <f t="shared" si="5"/>
        <v>61.199999999999996</v>
      </c>
    </row>
    <row r="139" spans="1:14" x14ac:dyDescent="0.35">
      <c r="A139" t="s">
        <v>12</v>
      </c>
      <c r="B139" t="s">
        <v>33</v>
      </c>
      <c r="C139" t="s">
        <v>14</v>
      </c>
      <c r="D139" t="s">
        <v>18</v>
      </c>
      <c r="E139" t="s">
        <v>16</v>
      </c>
      <c r="F139">
        <v>71</v>
      </c>
      <c r="G139">
        <v>5.78</v>
      </c>
      <c r="H139">
        <v>0.09</v>
      </c>
      <c r="I139">
        <v>0.67</v>
      </c>
      <c r="J139">
        <v>4.22</v>
      </c>
      <c r="K139">
        <v>1</v>
      </c>
      <c r="L139">
        <v>25.67</v>
      </c>
      <c r="M139">
        <f t="shared" si="4"/>
        <v>6.39</v>
      </c>
      <c r="N139">
        <f t="shared" si="5"/>
        <v>47.57</v>
      </c>
    </row>
    <row r="140" spans="1:14" x14ac:dyDescent="0.35">
      <c r="A140" t="s">
        <v>12</v>
      </c>
      <c r="B140" t="s">
        <v>33</v>
      </c>
      <c r="C140" t="s">
        <v>20</v>
      </c>
      <c r="D140" t="s">
        <v>15</v>
      </c>
      <c r="E140" t="s">
        <v>21</v>
      </c>
      <c r="F140">
        <v>52</v>
      </c>
      <c r="G140">
        <v>5.0999999999999996</v>
      </c>
      <c r="H140">
        <v>0.12</v>
      </c>
      <c r="I140">
        <v>0.79</v>
      </c>
      <c r="J140">
        <v>4.32</v>
      </c>
      <c r="K140">
        <v>0</v>
      </c>
      <c r="L140">
        <v>22.65</v>
      </c>
      <c r="M140">
        <f t="shared" si="4"/>
        <v>6.24</v>
      </c>
      <c r="N140">
        <f t="shared" si="5"/>
        <v>41.08</v>
      </c>
    </row>
    <row r="141" spans="1:14" x14ac:dyDescent="0.35">
      <c r="A141" t="s">
        <v>12</v>
      </c>
      <c r="B141" t="s">
        <v>33</v>
      </c>
      <c r="C141" t="s">
        <v>20</v>
      </c>
      <c r="D141" t="s">
        <v>17</v>
      </c>
      <c r="E141" t="s">
        <v>16</v>
      </c>
      <c r="F141">
        <v>46</v>
      </c>
      <c r="G141">
        <v>5.09</v>
      </c>
      <c r="H141">
        <v>7.0000000000000007E-2</v>
      </c>
      <c r="I141">
        <v>0.81</v>
      </c>
      <c r="J141">
        <v>4.17</v>
      </c>
      <c r="K141">
        <v>0</v>
      </c>
      <c r="L141">
        <v>22.64</v>
      </c>
      <c r="M141">
        <f t="shared" si="4"/>
        <v>3.22</v>
      </c>
      <c r="N141">
        <f t="shared" si="5"/>
        <v>37.260000000000005</v>
      </c>
    </row>
    <row r="142" spans="1:14" x14ac:dyDescent="0.35">
      <c r="A142" t="s">
        <v>12</v>
      </c>
      <c r="B142" t="s">
        <v>33</v>
      </c>
      <c r="C142" t="s">
        <v>20</v>
      </c>
      <c r="D142" t="s">
        <v>18</v>
      </c>
      <c r="E142" t="s">
        <v>19</v>
      </c>
      <c r="F142">
        <v>72</v>
      </c>
      <c r="G142">
        <v>5.77</v>
      </c>
      <c r="H142">
        <v>0.28000000000000003</v>
      </c>
      <c r="I142">
        <v>0.78</v>
      </c>
      <c r="J142">
        <v>4.29</v>
      </c>
      <c r="K142">
        <v>2</v>
      </c>
      <c r="L142">
        <v>27.66</v>
      </c>
      <c r="M142">
        <f t="shared" si="4"/>
        <v>20.160000000000004</v>
      </c>
      <c r="N142">
        <f t="shared" si="5"/>
        <v>56.160000000000004</v>
      </c>
    </row>
    <row r="143" spans="1:14" x14ac:dyDescent="0.35">
      <c r="A143" t="s">
        <v>12</v>
      </c>
      <c r="B143" t="s">
        <v>33</v>
      </c>
      <c r="C143" t="s">
        <v>22</v>
      </c>
      <c r="D143" t="s">
        <v>15</v>
      </c>
      <c r="E143" t="s">
        <v>16</v>
      </c>
      <c r="F143">
        <v>53</v>
      </c>
      <c r="G143">
        <v>7.21</v>
      </c>
      <c r="H143">
        <v>0.14000000000000001</v>
      </c>
      <c r="I143">
        <v>0.86</v>
      </c>
      <c r="J143">
        <v>3.78</v>
      </c>
      <c r="K143">
        <v>0</v>
      </c>
      <c r="L143">
        <v>25.82</v>
      </c>
      <c r="M143">
        <f t="shared" si="4"/>
        <v>7.4200000000000008</v>
      </c>
      <c r="N143">
        <f t="shared" si="5"/>
        <v>45.58</v>
      </c>
    </row>
    <row r="144" spans="1:14" x14ac:dyDescent="0.35">
      <c r="A144" t="s">
        <v>12</v>
      </c>
      <c r="B144" t="s">
        <v>33</v>
      </c>
      <c r="C144" t="s">
        <v>22</v>
      </c>
      <c r="D144" t="s">
        <v>17</v>
      </c>
      <c r="E144" t="s">
        <v>19</v>
      </c>
      <c r="F144">
        <v>64</v>
      </c>
      <c r="G144">
        <v>6.24</v>
      </c>
      <c r="H144">
        <v>0.28999999999999998</v>
      </c>
      <c r="I144">
        <v>0.77</v>
      </c>
      <c r="J144">
        <v>4.3099999999999996</v>
      </c>
      <c r="K144">
        <v>0</v>
      </c>
      <c r="L144">
        <v>24.36</v>
      </c>
      <c r="M144">
        <f t="shared" si="4"/>
        <v>18.559999999999999</v>
      </c>
      <c r="N144">
        <f t="shared" si="5"/>
        <v>49.28</v>
      </c>
    </row>
    <row r="145" spans="1:14" x14ac:dyDescent="0.35">
      <c r="A145" t="s">
        <v>12</v>
      </c>
      <c r="B145" t="s">
        <v>33</v>
      </c>
      <c r="C145" t="s">
        <v>22</v>
      </c>
      <c r="D145" t="s">
        <v>18</v>
      </c>
      <c r="E145" t="s">
        <v>16</v>
      </c>
      <c r="F145">
        <v>69</v>
      </c>
      <c r="G145">
        <v>6.23</v>
      </c>
      <c r="H145">
        <v>0.11</v>
      </c>
      <c r="I145">
        <v>0.72</v>
      </c>
      <c r="J145">
        <v>4.3899999999999997</v>
      </c>
      <c r="K145">
        <v>0</v>
      </c>
      <c r="L145">
        <v>24.34</v>
      </c>
      <c r="M145">
        <f t="shared" si="4"/>
        <v>7.59</v>
      </c>
      <c r="N145">
        <f t="shared" si="5"/>
        <v>49.68</v>
      </c>
    </row>
    <row r="146" spans="1:14" x14ac:dyDescent="0.35">
      <c r="A146" t="s">
        <v>12</v>
      </c>
      <c r="B146" t="s">
        <v>33</v>
      </c>
      <c r="C146" t="s">
        <v>23</v>
      </c>
      <c r="D146" t="s">
        <v>15</v>
      </c>
      <c r="E146" t="s">
        <v>19</v>
      </c>
      <c r="F146">
        <v>32</v>
      </c>
      <c r="G146">
        <v>5.69</v>
      </c>
      <c r="H146">
        <v>0.25</v>
      </c>
      <c r="I146">
        <v>0.89</v>
      </c>
      <c r="J146">
        <v>4.53</v>
      </c>
      <c r="K146">
        <v>1</v>
      </c>
      <c r="L146">
        <v>25.54</v>
      </c>
      <c r="M146">
        <f t="shared" si="4"/>
        <v>8</v>
      </c>
      <c r="N146">
        <f t="shared" si="5"/>
        <v>28.48</v>
      </c>
    </row>
    <row r="147" spans="1:14" x14ac:dyDescent="0.35">
      <c r="A147" t="s">
        <v>12</v>
      </c>
      <c r="B147" t="s">
        <v>33</v>
      </c>
      <c r="C147" t="s">
        <v>23</v>
      </c>
      <c r="D147" t="s">
        <v>17</v>
      </c>
      <c r="E147" t="s">
        <v>16</v>
      </c>
      <c r="F147">
        <v>41</v>
      </c>
      <c r="G147">
        <v>5.34</v>
      </c>
      <c r="H147">
        <v>0.09</v>
      </c>
      <c r="I147">
        <v>0.88</v>
      </c>
      <c r="J147">
        <v>4.45</v>
      </c>
      <c r="K147">
        <v>2</v>
      </c>
      <c r="L147">
        <v>27.01</v>
      </c>
      <c r="M147">
        <f t="shared" si="4"/>
        <v>3.69</v>
      </c>
      <c r="N147">
        <f t="shared" si="5"/>
        <v>36.08</v>
      </c>
    </row>
    <row r="148" spans="1:14" x14ac:dyDescent="0.35">
      <c r="A148" t="s">
        <v>12</v>
      </c>
      <c r="B148" t="s">
        <v>33</v>
      </c>
      <c r="C148" t="s">
        <v>23</v>
      </c>
      <c r="D148" t="s">
        <v>18</v>
      </c>
      <c r="E148" t="s">
        <v>16</v>
      </c>
      <c r="F148">
        <v>45</v>
      </c>
      <c r="G148">
        <v>5.55</v>
      </c>
      <c r="H148">
        <v>0.08</v>
      </c>
      <c r="I148">
        <v>0.66</v>
      </c>
      <c r="J148">
        <v>4.78</v>
      </c>
      <c r="K148">
        <v>2</v>
      </c>
      <c r="L148">
        <v>27.32</v>
      </c>
      <c r="M148">
        <f t="shared" si="4"/>
        <v>3.6</v>
      </c>
      <c r="N148">
        <f t="shared" si="5"/>
        <v>29.700000000000003</v>
      </c>
    </row>
    <row r="149" spans="1:14" x14ac:dyDescent="0.35">
      <c r="A149" t="s">
        <v>12</v>
      </c>
      <c r="B149" t="s">
        <v>33</v>
      </c>
      <c r="C149" t="s">
        <v>24</v>
      </c>
      <c r="D149" t="s">
        <v>15</v>
      </c>
      <c r="E149" t="s">
        <v>19</v>
      </c>
      <c r="F149">
        <v>39</v>
      </c>
      <c r="G149">
        <v>6.63</v>
      </c>
      <c r="H149">
        <v>0.2</v>
      </c>
      <c r="I149">
        <v>0.9</v>
      </c>
      <c r="J149">
        <v>4.22</v>
      </c>
      <c r="K149">
        <v>0</v>
      </c>
      <c r="L149">
        <v>24.94</v>
      </c>
      <c r="M149">
        <f t="shared" si="4"/>
        <v>7.8000000000000007</v>
      </c>
      <c r="N149">
        <f t="shared" si="5"/>
        <v>35.1</v>
      </c>
    </row>
    <row r="150" spans="1:14" x14ac:dyDescent="0.35">
      <c r="A150" t="s">
        <v>12</v>
      </c>
      <c r="B150" t="s">
        <v>33</v>
      </c>
      <c r="C150" t="s">
        <v>24</v>
      </c>
      <c r="D150" t="s">
        <v>17</v>
      </c>
      <c r="E150" t="s">
        <v>16</v>
      </c>
      <c r="F150">
        <v>44</v>
      </c>
      <c r="G150">
        <v>4.92</v>
      </c>
      <c r="H150">
        <v>0.14000000000000001</v>
      </c>
      <c r="I150">
        <v>0.9</v>
      </c>
      <c r="J150">
        <v>4.7300000000000004</v>
      </c>
      <c r="K150">
        <v>0</v>
      </c>
      <c r="L150">
        <v>22.38</v>
      </c>
      <c r="M150">
        <f t="shared" si="4"/>
        <v>6.16</v>
      </c>
      <c r="N150">
        <f t="shared" si="5"/>
        <v>39.6</v>
      </c>
    </row>
    <row r="151" spans="1:14" x14ac:dyDescent="0.35">
      <c r="A151" t="s">
        <v>12</v>
      </c>
      <c r="B151" t="s">
        <v>33</v>
      </c>
      <c r="C151" t="s">
        <v>24</v>
      </c>
      <c r="D151" t="s">
        <v>18</v>
      </c>
      <c r="E151" t="s">
        <v>21</v>
      </c>
      <c r="F151">
        <v>68</v>
      </c>
      <c r="G151">
        <v>7.05</v>
      </c>
      <c r="H151">
        <v>0.08</v>
      </c>
      <c r="I151">
        <v>0.73</v>
      </c>
      <c r="J151">
        <v>4.34</v>
      </c>
      <c r="K151">
        <v>1</v>
      </c>
      <c r="L151">
        <v>27.58</v>
      </c>
      <c r="M151">
        <f t="shared" si="4"/>
        <v>5.44</v>
      </c>
      <c r="N151">
        <f t="shared" si="5"/>
        <v>49.64</v>
      </c>
    </row>
    <row r="152" spans="1:14" x14ac:dyDescent="0.35">
      <c r="A152" t="s">
        <v>34</v>
      </c>
      <c r="B152" t="s">
        <v>13</v>
      </c>
      <c r="C152" t="s">
        <v>14</v>
      </c>
      <c r="D152" t="s">
        <v>15</v>
      </c>
      <c r="E152" t="s">
        <v>16</v>
      </c>
      <c r="F152">
        <v>73</v>
      </c>
      <c r="G152">
        <v>6.46</v>
      </c>
      <c r="H152">
        <v>0.11</v>
      </c>
      <c r="I152">
        <v>0.76</v>
      </c>
      <c r="J152">
        <v>3.91</v>
      </c>
      <c r="K152">
        <v>0</v>
      </c>
      <c r="L152">
        <v>24.69</v>
      </c>
      <c r="M152">
        <f t="shared" si="4"/>
        <v>8.0299999999999994</v>
      </c>
      <c r="N152">
        <f t="shared" si="5"/>
        <v>55.480000000000004</v>
      </c>
    </row>
    <row r="153" spans="1:14" x14ac:dyDescent="0.35">
      <c r="A153" t="s">
        <v>34</v>
      </c>
      <c r="B153" t="s">
        <v>13</v>
      </c>
      <c r="C153" t="s">
        <v>14</v>
      </c>
      <c r="D153" t="s">
        <v>17</v>
      </c>
      <c r="E153" t="s">
        <v>21</v>
      </c>
      <c r="F153">
        <v>54</v>
      </c>
      <c r="G153">
        <v>8.7799999999999994</v>
      </c>
      <c r="H153">
        <v>0.12</v>
      </c>
      <c r="I153">
        <v>0.83</v>
      </c>
      <c r="J153">
        <v>4.05</v>
      </c>
      <c r="K153">
        <v>2</v>
      </c>
      <c r="L153">
        <v>32.17</v>
      </c>
      <c r="M153">
        <f t="shared" si="4"/>
        <v>6.4799999999999995</v>
      </c>
      <c r="N153">
        <f t="shared" si="5"/>
        <v>44.82</v>
      </c>
    </row>
    <row r="154" spans="1:14" x14ac:dyDescent="0.35">
      <c r="A154" t="s">
        <v>34</v>
      </c>
      <c r="B154" t="s">
        <v>13</v>
      </c>
      <c r="C154" t="s">
        <v>14</v>
      </c>
      <c r="D154" t="s">
        <v>18</v>
      </c>
      <c r="E154" t="s">
        <v>16</v>
      </c>
      <c r="F154">
        <v>64</v>
      </c>
      <c r="G154">
        <v>7.58</v>
      </c>
      <c r="H154">
        <v>0.14000000000000001</v>
      </c>
      <c r="I154">
        <v>0.8</v>
      </c>
      <c r="J154">
        <v>4.8</v>
      </c>
      <c r="K154">
        <v>0</v>
      </c>
      <c r="L154">
        <v>26.37</v>
      </c>
      <c r="M154">
        <f t="shared" si="4"/>
        <v>8.9600000000000009</v>
      </c>
      <c r="N154">
        <f t="shared" si="5"/>
        <v>51.2</v>
      </c>
    </row>
    <row r="155" spans="1:14" x14ac:dyDescent="0.35">
      <c r="A155" t="s">
        <v>34</v>
      </c>
      <c r="B155" t="s">
        <v>13</v>
      </c>
      <c r="C155" t="s">
        <v>20</v>
      </c>
      <c r="D155" t="s">
        <v>15</v>
      </c>
      <c r="E155" t="s">
        <v>21</v>
      </c>
      <c r="F155">
        <v>58</v>
      </c>
      <c r="G155">
        <v>8.57</v>
      </c>
      <c r="H155">
        <v>0.02</v>
      </c>
      <c r="I155">
        <v>0.82</v>
      </c>
      <c r="J155">
        <v>4.25</v>
      </c>
      <c r="K155">
        <v>0</v>
      </c>
      <c r="L155">
        <v>27.86</v>
      </c>
      <c r="M155">
        <f t="shared" si="4"/>
        <v>1.1599999999999999</v>
      </c>
      <c r="N155">
        <f t="shared" si="5"/>
        <v>47.559999999999995</v>
      </c>
    </row>
    <row r="156" spans="1:14" x14ac:dyDescent="0.35">
      <c r="A156" t="s">
        <v>34</v>
      </c>
      <c r="B156" t="s">
        <v>13</v>
      </c>
      <c r="C156" t="s">
        <v>20</v>
      </c>
      <c r="D156" t="s">
        <v>17</v>
      </c>
      <c r="E156" t="s">
        <v>16</v>
      </c>
      <c r="F156">
        <v>59</v>
      </c>
      <c r="G156">
        <v>5.82</v>
      </c>
      <c r="H156">
        <v>0.12</v>
      </c>
      <c r="I156">
        <v>0.79</v>
      </c>
      <c r="J156">
        <v>3.64</v>
      </c>
      <c r="K156">
        <v>0</v>
      </c>
      <c r="L156">
        <v>23.73</v>
      </c>
      <c r="M156">
        <f t="shared" si="4"/>
        <v>7.08</v>
      </c>
      <c r="N156">
        <f t="shared" si="5"/>
        <v>46.61</v>
      </c>
    </row>
    <row r="157" spans="1:14" x14ac:dyDescent="0.35">
      <c r="A157" t="s">
        <v>34</v>
      </c>
      <c r="B157" t="s">
        <v>13</v>
      </c>
      <c r="C157" t="s">
        <v>20</v>
      </c>
      <c r="D157" t="s">
        <v>18</v>
      </c>
      <c r="E157" t="s">
        <v>19</v>
      </c>
      <c r="F157">
        <v>33</v>
      </c>
      <c r="G157">
        <v>5.74</v>
      </c>
      <c r="H157">
        <v>0.23</v>
      </c>
      <c r="I157">
        <v>0.75</v>
      </c>
      <c r="J157">
        <v>3.86</v>
      </c>
      <c r="K157">
        <v>2</v>
      </c>
      <c r="L157">
        <v>27.61</v>
      </c>
      <c r="M157">
        <f t="shared" si="4"/>
        <v>7.5900000000000007</v>
      </c>
      <c r="N157">
        <f t="shared" si="5"/>
        <v>24.75</v>
      </c>
    </row>
    <row r="158" spans="1:14" x14ac:dyDescent="0.35">
      <c r="A158" t="s">
        <v>34</v>
      </c>
      <c r="B158" t="s">
        <v>13</v>
      </c>
      <c r="C158" t="s">
        <v>22</v>
      </c>
      <c r="D158" t="s">
        <v>15</v>
      </c>
      <c r="E158" t="s">
        <v>19</v>
      </c>
      <c r="F158">
        <v>44</v>
      </c>
      <c r="G158">
        <v>9.0500000000000007</v>
      </c>
      <c r="H158">
        <v>0.1</v>
      </c>
      <c r="I158">
        <v>0.89</v>
      </c>
      <c r="J158">
        <v>4.5199999999999996</v>
      </c>
      <c r="K158">
        <v>0</v>
      </c>
      <c r="L158">
        <v>28.58</v>
      </c>
      <c r="M158">
        <f t="shared" si="4"/>
        <v>4.4000000000000004</v>
      </c>
      <c r="N158">
        <f t="shared" si="5"/>
        <v>39.160000000000004</v>
      </c>
    </row>
    <row r="159" spans="1:14" x14ac:dyDescent="0.35">
      <c r="A159" t="s">
        <v>34</v>
      </c>
      <c r="B159" t="s">
        <v>13</v>
      </c>
      <c r="C159" t="s">
        <v>22</v>
      </c>
      <c r="D159" t="s">
        <v>17</v>
      </c>
      <c r="E159" t="s">
        <v>16</v>
      </c>
      <c r="F159">
        <v>75</v>
      </c>
      <c r="G159">
        <v>6.5</v>
      </c>
      <c r="H159">
        <v>0.1</v>
      </c>
      <c r="I159">
        <v>0.89</v>
      </c>
      <c r="J159">
        <v>4.79</v>
      </c>
      <c r="K159">
        <v>1</v>
      </c>
      <c r="L159">
        <v>26.75</v>
      </c>
      <c r="M159">
        <f t="shared" si="4"/>
        <v>7.5</v>
      </c>
      <c r="N159">
        <f t="shared" si="5"/>
        <v>66.75</v>
      </c>
    </row>
    <row r="160" spans="1:14" x14ac:dyDescent="0.35">
      <c r="A160" t="s">
        <v>34</v>
      </c>
      <c r="B160" t="s">
        <v>13</v>
      </c>
      <c r="C160" t="s">
        <v>22</v>
      </c>
      <c r="D160" t="s">
        <v>18</v>
      </c>
      <c r="E160" t="s">
        <v>19</v>
      </c>
      <c r="F160">
        <v>37</v>
      </c>
      <c r="G160">
        <v>7.67</v>
      </c>
      <c r="H160">
        <v>0.2</v>
      </c>
      <c r="I160">
        <v>0.73</v>
      </c>
      <c r="J160">
        <v>3.8</v>
      </c>
      <c r="K160">
        <v>0</v>
      </c>
      <c r="L160">
        <v>26.5</v>
      </c>
      <c r="M160">
        <f t="shared" si="4"/>
        <v>7.4</v>
      </c>
      <c r="N160">
        <f t="shared" si="5"/>
        <v>27.009999999999998</v>
      </c>
    </row>
    <row r="161" spans="1:14" x14ac:dyDescent="0.35">
      <c r="A161" t="s">
        <v>34</v>
      </c>
      <c r="B161" t="s">
        <v>13</v>
      </c>
      <c r="C161" t="s">
        <v>23</v>
      </c>
      <c r="D161" t="s">
        <v>15</v>
      </c>
      <c r="E161" t="s">
        <v>19</v>
      </c>
      <c r="F161">
        <v>78</v>
      </c>
      <c r="G161">
        <v>7.99</v>
      </c>
      <c r="H161">
        <v>0.28999999999999998</v>
      </c>
      <c r="I161">
        <v>0.87</v>
      </c>
      <c r="J161">
        <v>4.54</v>
      </c>
      <c r="K161">
        <v>1</v>
      </c>
      <c r="L161">
        <v>28.98</v>
      </c>
      <c r="M161">
        <f t="shared" si="4"/>
        <v>22.619999999999997</v>
      </c>
      <c r="N161">
        <f t="shared" si="5"/>
        <v>67.86</v>
      </c>
    </row>
    <row r="162" spans="1:14" x14ac:dyDescent="0.35">
      <c r="A162" t="s">
        <v>34</v>
      </c>
      <c r="B162" t="s">
        <v>13</v>
      </c>
      <c r="C162" t="s">
        <v>23</v>
      </c>
      <c r="D162" t="s">
        <v>17</v>
      </c>
      <c r="E162" t="s">
        <v>19</v>
      </c>
      <c r="F162">
        <v>38</v>
      </c>
      <c r="G162">
        <v>7.13</v>
      </c>
      <c r="H162">
        <v>0.24</v>
      </c>
      <c r="I162">
        <v>0.85</v>
      </c>
      <c r="J162">
        <v>3.7</v>
      </c>
      <c r="K162">
        <v>2</v>
      </c>
      <c r="L162">
        <v>29.7</v>
      </c>
      <c r="M162">
        <f t="shared" si="4"/>
        <v>9.1199999999999992</v>
      </c>
      <c r="N162">
        <f t="shared" si="5"/>
        <v>32.299999999999997</v>
      </c>
    </row>
    <row r="163" spans="1:14" x14ac:dyDescent="0.35">
      <c r="A163" t="s">
        <v>34</v>
      </c>
      <c r="B163" t="s">
        <v>13</v>
      </c>
      <c r="C163" t="s">
        <v>23</v>
      </c>
      <c r="D163" t="s">
        <v>18</v>
      </c>
      <c r="E163" t="s">
        <v>19</v>
      </c>
      <c r="F163">
        <v>76</v>
      </c>
      <c r="G163">
        <v>6.33</v>
      </c>
      <c r="H163">
        <v>0.06</v>
      </c>
      <c r="I163">
        <v>0.82</v>
      </c>
      <c r="J163">
        <v>4.62</v>
      </c>
      <c r="K163">
        <v>0</v>
      </c>
      <c r="L163">
        <v>24.5</v>
      </c>
      <c r="M163">
        <f t="shared" si="4"/>
        <v>4.5599999999999996</v>
      </c>
      <c r="N163">
        <f t="shared" si="5"/>
        <v>62.319999999999993</v>
      </c>
    </row>
    <row r="164" spans="1:14" x14ac:dyDescent="0.35">
      <c r="A164" t="s">
        <v>34</v>
      </c>
      <c r="B164" t="s">
        <v>13</v>
      </c>
      <c r="C164" t="s">
        <v>24</v>
      </c>
      <c r="D164" t="s">
        <v>15</v>
      </c>
      <c r="E164" t="s">
        <v>16</v>
      </c>
      <c r="F164">
        <v>57</v>
      </c>
      <c r="G164">
        <v>6.9</v>
      </c>
      <c r="H164">
        <v>0.13</v>
      </c>
      <c r="I164">
        <v>0.76</v>
      </c>
      <c r="J164">
        <v>3.93</v>
      </c>
      <c r="K164">
        <v>2</v>
      </c>
      <c r="L164">
        <v>29.35</v>
      </c>
      <c r="M164">
        <f t="shared" si="4"/>
        <v>7.41</v>
      </c>
      <c r="N164">
        <f t="shared" si="5"/>
        <v>43.32</v>
      </c>
    </row>
    <row r="165" spans="1:14" x14ac:dyDescent="0.35">
      <c r="A165" t="s">
        <v>34</v>
      </c>
      <c r="B165" t="s">
        <v>13</v>
      </c>
      <c r="C165" t="s">
        <v>24</v>
      </c>
      <c r="D165" t="s">
        <v>17</v>
      </c>
      <c r="E165" t="s">
        <v>21</v>
      </c>
      <c r="F165">
        <v>63</v>
      </c>
      <c r="G165">
        <v>7.47</v>
      </c>
      <c r="H165">
        <v>7.0000000000000007E-2</v>
      </c>
      <c r="I165">
        <v>0.81</v>
      </c>
      <c r="J165">
        <v>3.84</v>
      </c>
      <c r="K165">
        <v>1</v>
      </c>
      <c r="L165">
        <v>28.2</v>
      </c>
      <c r="M165">
        <f t="shared" si="4"/>
        <v>4.41</v>
      </c>
      <c r="N165">
        <f t="shared" si="5"/>
        <v>51.03</v>
      </c>
    </row>
    <row r="166" spans="1:14" x14ac:dyDescent="0.35">
      <c r="A166" t="s">
        <v>34</v>
      </c>
      <c r="B166" t="s">
        <v>13</v>
      </c>
      <c r="C166" t="s">
        <v>24</v>
      </c>
      <c r="D166" t="s">
        <v>18</v>
      </c>
      <c r="E166" t="s">
        <v>16</v>
      </c>
      <c r="F166">
        <v>35</v>
      </c>
      <c r="G166">
        <v>8.41</v>
      </c>
      <c r="H166">
        <v>0.09</v>
      </c>
      <c r="I166">
        <v>0.77</v>
      </c>
      <c r="J166">
        <v>4.21</v>
      </c>
      <c r="K166">
        <v>2</v>
      </c>
      <c r="L166">
        <v>31.62</v>
      </c>
      <c r="M166">
        <f t="shared" si="4"/>
        <v>3.15</v>
      </c>
      <c r="N166">
        <f t="shared" si="5"/>
        <v>26.95</v>
      </c>
    </row>
    <row r="167" spans="1:14" x14ac:dyDescent="0.35">
      <c r="A167" t="s">
        <v>34</v>
      </c>
      <c r="B167" t="s">
        <v>25</v>
      </c>
      <c r="C167" t="s">
        <v>14</v>
      </c>
      <c r="D167" t="s">
        <v>15</v>
      </c>
      <c r="E167" t="s">
        <v>21</v>
      </c>
      <c r="F167">
        <v>53</v>
      </c>
      <c r="G167">
        <v>7.54</v>
      </c>
      <c r="H167">
        <v>0.12</v>
      </c>
      <c r="I167">
        <v>0.85</v>
      </c>
      <c r="J167">
        <v>4.6100000000000003</v>
      </c>
      <c r="K167">
        <v>2</v>
      </c>
      <c r="L167">
        <v>30.31</v>
      </c>
      <c r="M167">
        <f t="shared" si="4"/>
        <v>6.3599999999999994</v>
      </c>
      <c r="N167">
        <f t="shared" si="5"/>
        <v>45.05</v>
      </c>
    </row>
    <row r="168" spans="1:14" x14ac:dyDescent="0.35">
      <c r="A168" t="s">
        <v>34</v>
      </c>
      <c r="B168" t="s">
        <v>25</v>
      </c>
      <c r="C168" t="s">
        <v>14</v>
      </c>
      <c r="D168" t="s">
        <v>17</v>
      </c>
      <c r="E168" t="s">
        <v>21</v>
      </c>
      <c r="F168">
        <v>72</v>
      </c>
      <c r="G168">
        <v>7.82</v>
      </c>
      <c r="H168">
        <v>0.04</v>
      </c>
      <c r="I168">
        <v>0.88</v>
      </c>
      <c r="J168">
        <v>4.75</v>
      </c>
      <c r="K168">
        <v>0</v>
      </c>
      <c r="L168">
        <v>26.73</v>
      </c>
      <c r="M168">
        <f t="shared" si="4"/>
        <v>2.88</v>
      </c>
      <c r="N168">
        <f t="shared" si="5"/>
        <v>63.36</v>
      </c>
    </row>
    <row r="169" spans="1:14" x14ac:dyDescent="0.35">
      <c r="A169" t="s">
        <v>34</v>
      </c>
      <c r="B169" t="s">
        <v>25</v>
      </c>
      <c r="C169" t="s">
        <v>14</v>
      </c>
      <c r="D169" t="s">
        <v>18</v>
      </c>
      <c r="E169" t="s">
        <v>21</v>
      </c>
      <c r="F169">
        <v>71</v>
      </c>
      <c r="G169">
        <v>6.87</v>
      </c>
      <c r="H169">
        <v>0.04</v>
      </c>
      <c r="I169">
        <v>0.68</v>
      </c>
      <c r="J169">
        <v>4.47</v>
      </c>
      <c r="K169">
        <v>0</v>
      </c>
      <c r="L169">
        <v>25.3</v>
      </c>
      <c r="M169">
        <f t="shared" si="4"/>
        <v>2.84</v>
      </c>
      <c r="N169">
        <f t="shared" si="5"/>
        <v>48.28</v>
      </c>
    </row>
    <row r="170" spans="1:14" x14ac:dyDescent="0.35">
      <c r="A170" t="s">
        <v>34</v>
      </c>
      <c r="B170" t="s">
        <v>25</v>
      </c>
      <c r="C170" t="s">
        <v>20</v>
      </c>
      <c r="D170" t="s">
        <v>15</v>
      </c>
      <c r="E170" t="s">
        <v>21</v>
      </c>
      <c r="F170">
        <v>43</v>
      </c>
      <c r="G170">
        <v>6.69</v>
      </c>
      <c r="H170">
        <v>0.05</v>
      </c>
      <c r="I170">
        <v>0.76</v>
      </c>
      <c r="J170">
        <v>3.92</v>
      </c>
      <c r="K170">
        <v>0</v>
      </c>
      <c r="L170">
        <v>25.04</v>
      </c>
      <c r="M170">
        <f t="shared" si="4"/>
        <v>2.15</v>
      </c>
      <c r="N170">
        <f t="shared" si="5"/>
        <v>32.68</v>
      </c>
    </row>
    <row r="171" spans="1:14" x14ac:dyDescent="0.35">
      <c r="A171" t="s">
        <v>34</v>
      </c>
      <c r="B171" t="s">
        <v>25</v>
      </c>
      <c r="C171" t="s">
        <v>20</v>
      </c>
      <c r="D171" t="s">
        <v>17</v>
      </c>
      <c r="E171" t="s">
        <v>19</v>
      </c>
      <c r="F171">
        <v>63</v>
      </c>
      <c r="G171">
        <v>8.36</v>
      </c>
      <c r="H171">
        <v>0.21</v>
      </c>
      <c r="I171">
        <v>0.83</v>
      </c>
      <c r="J171">
        <v>4.51</v>
      </c>
      <c r="K171">
        <v>0</v>
      </c>
      <c r="L171">
        <v>27.54</v>
      </c>
      <c r="M171">
        <f t="shared" si="4"/>
        <v>13.229999999999999</v>
      </c>
      <c r="N171">
        <f t="shared" si="5"/>
        <v>52.29</v>
      </c>
    </row>
    <row r="172" spans="1:14" x14ac:dyDescent="0.35">
      <c r="A172" t="s">
        <v>34</v>
      </c>
      <c r="B172" t="s">
        <v>25</v>
      </c>
      <c r="C172" t="s">
        <v>20</v>
      </c>
      <c r="D172" t="s">
        <v>18</v>
      </c>
      <c r="E172" t="s">
        <v>21</v>
      </c>
      <c r="F172">
        <v>39</v>
      </c>
      <c r="G172">
        <v>8.69</v>
      </c>
      <c r="H172">
        <v>7.0000000000000007E-2</v>
      </c>
      <c r="I172">
        <v>0.64</v>
      </c>
      <c r="J172">
        <v>4.4800000000000004</v>
      </c>
      <c r="K172">
        <v>1</v>
      </c>
      <c r="L172">
        <v>30.04</v>
      </c>
      <c r="M172">
        <f t="shared" si="4"/>
        <v>2.7300000000000004</v>
      </c>
      <c r="N172">
        <f t="shared" si="5"/>
        <v>24.96</v>
      </c>
    </row>
    <row r="173" spans="1:14" x14ac:dyDescent="0.35">
      <c r="A173" t="s">
        <v>34</v>
      </c>
      <c r="B173" t="s">
        <v>25</v>
      </c>
      <c r="C173" t="s">
        <v>22</v>
      </c>
      <c r="D173" t="s">
        <v>15</v>
      </c>
      <c r="E173" t="s">
        <v>19</v>
      </c>
      <c r="F173">
        <v>65</v>
      </c>
      <c r="G173">
        <v>7.26</v>
      </c>
      <c r="H173">
        <v>7.0000000000000007E-2</v>
      </c>
      <c r="I173">
        <v>0.8</v>
      </c>
      <c r="J173">
        <v>4.42</v>
      </c>
      <c r="K173">
        <v>0</v>
      </c>
      <c r="L173">
        <v>25.89</v>
      </c>
      <c r="M173">
        <f t="shared" si="4"/>
        <v>4.5500000000000007</v>
      </c>
      <c r="N173">
        <f t="shared" si="5"/>
        <v>52</v>
      </c>
    </row>
    <row r="174" spans="1:14" x14ac:dyDescent="0.35">
      <c r="A174" t="s">
        <v>34</v>
      </c>
      <c r="B174" t="s">
        <v>25</v>
      </c>
      <c r="C174" t="s">
        <v>22</v>
      </c>
      <c r="D174" t="s">
        <v>17</v>
      </c>
      <c r="E174" t="s">
        <v>16</v>
      </c>
      <c r="F174">
        <v>30</v>
      </c>
      <c r="G174">
        <v>6.91</v>
      </c>
      <c r="H174">
        <v>0.1</v>
      </c>
      <c r="I174">
        <v>0.84</v>
      </c>
      <c r="J174">
        <v>4</v>
      </c>
      <c r="K174">
        <v>0</v>
      </c>
      <c r="L174">
        <v>25.36</v>
      </c>
      <c r="M174">
        <f t="shared" si="4"/>
        <v>3</v>
      </c>
      <c r="N174">
        <f t="shared" si="5"/>
        <v>25.2</v>
      </c>
    </row>
    <row r="175" spans="1:14" x14ac:dyDescent="0.35">
      <c r="A175" t="s">
        <v>34</v>
      </c>
      <c r="B175" t="s">
        <v>25</v>
      </c>
      <c r="C175" t="s">
        <v>22</v>
      </c>
      <c r="D175" t="s">
        <v>18</v>
      </c>
      <c r="E175" t="s">
        <v>21</v>
      </c>
      <c r="F175">
        <v>76</v>
      </c>
      <c r="G175">
        <v>9.41</v>
      </c>
      <c r="H175">
        <v>0.08</v>
      </c>
      <c r="I175">
        <v>0.79</v>
      </c>
      <c r="J175">
        <v>4.3899999999999997</v>
      </c>
      <c r="K175">
        <v>0</v>
      </c>
      <c r="L175">
        <v>29.12</v>
      </c>
      <c r="M175">
        <f t="shared" si="4"/>
        <v>6.08</v>
      </c>
      <c r="N175">
        <f t="shared" si="5"/>
        <v>60.040000000000006</v>
      </c>
    </row>
    <row r="176" spans="1:14" x14ac:dyDescent="0.35">
      <c r="A176" t="s">
        <v>34</v>
      </c>
      <c r="B176" t="s">
        <v>25</v>
      </c>
      <c r="C176" t="s">
        <v>23</v>
      </c>
      <c r="D176" t="s">
        <v>15</v>
      </c>
      <c r="E176" t="s">
        <v>19</v>
      </c>
      <c r="F176">
        <v>58</v>
      </c>
      <c r="G176">
        <v>7.59</v>
      </c>
      <c r="H176">
        <v>0.26</v>
      </c>
      <c r="I176">
        <v>0.79</v>
      </c>
      <c r="J176">
        <v>4.59</v>
      </c>
      <c r="K176">
        <v>1</v>
      </c>
      <c r="L176">
        <v>28.38</v>
      </c>
      <c r="M176">
        <f t="shared" si="4"/>
        <v>15.08</v>
      </c>
      <c r="N176">
        <f t="shared" si="5"/>
        <v>45.82</v>
      </c>
    </row>
    <row r="177" spans="1:14" x14ac:dyDescent="0.35">
      <c r="A177" t="s">
        <v>34</v>
      </c>
      <c r="B177" t="s">
        <v>25</v>
      </c>
      <c r="C177" t="s">
        <v>23</v>
      </c>
      <c r="D177" t="s">
        <v>17</v>
      </c>
      <c r="E177" t="s">
        <v>19</v>
      </c>
      <c r="F177">
        <v>40</v>
      </c>
      <c r="G177">
        <v>8.67</v>
      </c>
      <c r="H177">
        <v>0.12</v>
      </c>
      <c r="I177">
        <v>0.89</v>
      </c>
      <c r="J177">
        <v>3.7</v>
      </c>
      <c r="K177">
        <v>0</v>
      </c>
      <c r="L177">
        <v>28</v>
      </c>
      <c r="M177">
        <f t="shared" si="4"/>
        <v>4.8</v>
      </c>
      <c r="N177">
        <f t="shared" si="5"/>
        <v>35.6</v>
      </c>
    </row>
    <row r="178" spans="1:14" x14ac:dyDescent="0.35">
      <c r="A178" t="s">
        <v>34</v>
      </c>
      <c r="B178" t="s">
        <v>25</v>
      </c>
      <c r="C178" t="s">
        <v>23</v>
      </c>
      <c r="D178" t="s">
        <v>18</v>
      </c>
      <c r="E178" t="s">
        <v>21</v>
      </c>
      <c r="F178">
        <v>45</v>
      </c>
      <c r="G178">
        <v>7.16</v>
      </c>
      <c r="H178">
        <v>0.06</v>
      </c>
      <c r="I178">
        <v>0.68</v>
      </c>
      <c r="J178">
        <v>4.4400000000000004</v>
      </c>
      <c r="K178">
        <v>1</v>
      </c>
      <c r="L178">
        <v>27.74</v>
      </c>
      <c r="M178">
        <f t="shared" si="4"/>
        <v>2.6999999999999997</v>
      </c>
      <c r="N178">
        <f t="shared" si="5"/>
        <v>30.6</v>
      </c>
    </row>
    <row r="179" spans="1:14" x14ac:dyDescent="0.35">
      <c r="A179" t="s">
        <v>34</v>
      </c>
      <c r="B179" t="s">
        <v>25</v>
      </c>
      <c r="C179" t="s">
        <v>24</v>
      </c>
      <c r="D179" t="s">
        <v>15</v>
      </c>
      <c r="E179" t="s">
        <v>19</v>
      </c>
      <c r="F179">
        <v>78</v>
      </c>
      <c r="G179">
        <v>9.0500000000000007</v>
      </c>
      <c r="H179">
        <v>0.21</v>
      </c>
      <c r="I179">
        <v>0.81</v>
      </c>
      <c r="J179">
        <v>4.62</v>
      </c>
      <c r="K179">
        <v>0</v>
      </c>
      <c r="L179">
        <v>28.58</v>
      </c>
      <c r="M179">
        <f t="shared" si="4"/>
        <v>16.38</v>
      </c>
      <c r="N179">
        <f t="shared" si="5"/>
        <v>63.180000000000007</v>
      </c>
    </row>
    <row r="180" spans="1:14" x14ac:dyDescent="0.35">
      <c r="A180" t="s">
        <v>34</v>
      </c>
      <c r="B180" t="s">
        <v>25</v>
      </c>
      <c r="C180" t="s">
        <v>24</v>
      </c>
      <c r="D180" t="s">
        <v>17</v>
      </c>
      <c r="E180" t="s">
        <v>21</v>
      </c>
      <c r="F180">
        <v>75</v>
      </c>
      <c r="G180">
        <v>7.34</v>
      </c>
      <c r="H180">
        <v>0.09</v>
      </c>
      <c r="I180">
        <v>0.75</v>
      </c>
      <c r="J180">
        <v>4.54</v>
      </c>
      <c r="K180">
        <v>0</v>
      </c>
      <c r="L180">
        <v>26.01</v>
      </c>
      <c r="M180">
        <f t="shared" si="4"/>
        <v>6.75</v>
      </c>
      <c r="N180">
        <f t="shared" si="5"/>
        <v>56.25</v>
      </c>
    </row>
    <row r="181" spans="1:14" x14ac:dyDescent="0.35">
      <c r="A181" t="s">
        <v>34</v>
      </c>
      <c r="B181" t="s">
        <v>25</v>
      </c>
      <c r="C181" t="s">
        <v>24</v>
      </c>
      <c r="D181" t="s">
        <v>18</v>
      </c>
      <c r="E181" t="s">
        <v>21</v>
      </c>
      <c r="F181">
        <v>32</v>
      </c>
      <c r="G181">
        <v>6.31</v>
      </c>
      <c r="H181">
        <v>0.04</v>
      </c>
      <c r="I181">
        <v>0.72</v>
      </c>
      <c r="J181">
        <v>3.5</v>
      </c>
      <c r="K181">
        <v>0</v>
      </c>
      <c r="L181">
        <v>24.46</v>
      </c>
      <c r="M181">
        <f t="shared" si="4"/>
        <v>1.28</v>
      </c>
      <c r="N181">
        <f t="shared" si="5"/>
        <v>23.04</v>
      </c>
    </row>
    <row r="182" spans="1:14" x14ac:dyDescent="0.35">
      <c r="A182" t="s">
        <v>34</v>
      </c>
      <c r="B182" t="s">
        <v>26</v>
      </c>
      <c r="C182" t="s">
        <v>14</v>
      </c>
      <c r="D182" t="s">
        <v>15</v>
      </c>
      <c r="E182" t="s">
        <v>16</v>
      </c>
      <c r="F182">
        <v>49</v>
      </c>
      <c r="G182">
        <v>6.14</v>
      </c>
      <c r="H182">
        <v>0.08</v>
      </c>
      <c r="I182">
        <v>0.76</v>
      </c>
      <c r="J182">
        <v>4.26</v>
      </c>
      <c r="K182">
        <v>0</v>
      </c>
      <c r="L182">
        <v>24.21</v>
      </c>
      <c r="M182">
        <f t="shared" si="4"/>
        <v>3.92</v>
      </c>
      <c r="N182">
        <f t="shared" si="5"/>
        <v>37.24</v>
      </c>
    </row>
    <row r="183" spans="1:14" x14ac:dyDescent="0.35">
      <c r="A183" t="s">
        <v>34</v>
      </c>
      <c r="B183" t="s">
        <v>26</v>
      </c>
      <c r="C183" t="s">
        <v>14</v>
      </c>
      <c r="D183" t="s">
        <v>17</v>
      </c>
      <c r="E183" t="s">
        <v>21</v>
      </c>
      <c r="F183">
        <v>40</v>
      </c>
      <c r="G183">
        <v>7.18</v>
      </c>
      <c r="H183">
        <v>0.15</v>
      </c>
      <c r="I183">
        <v>0.77</v>
      </c>
      <c r="J183">
        <v>4.0999999999999996</v>
      </c>
      <c r="K183">
        <v>1</v>
      </c>
      <c r="L183">
        <v>27.77</v>
      </c>
      <c r="M183">
        <f t="shared" si="4"/>
        <v>6</v>
      </c>
      <c r="N183">
        <f t="shared" si="5"/>
        <v>30.8</v>
      </c>
    </row>
    <row r="184" spans="1:14" x14ac:dyDescent="0.35">
      <c r="A184" t="s">
        <v>34</v>
      </c>
      <c r="B184" t="s">
        <v>26</v>
      </c>
      <c r="C184" t="s">
        <v>14</v>
      </c>
      <c r="D184" t="s">
        <v>18</v>
      </c>
      <c r="E184" t="s">
        <v>16</v>
      </c>
      <c r="F184">
        <v>76</v>
      </c>
      <c r="G184">
        <v>5.92</v>
      </c>
      <c r="H184">
        <v>0.11</v>
      </c>
      <c r="I184">
        <v>0.82</v>
      </c>
      <c r="J184">
        <v>4.51</v>
      </c>
      <c r="K184">
        <v>0</v>
      </c>
      <c r="L184">
        <v>23.88</v>
      </c>
      <c r="M184">
        <f t="shared" si="4"/>
        <v>8.36</v>
      </c>
      <c r="N184">
        <f t="shared" si="5"/>
        <v>62.319999999999993</v>
      </c>
    </row>
    <row r="185" spans="1:14" x14ac:dyDescent="0.35">
      <c r="A185" t="s">
        <v>34</v>
      </c>
      <c r="B185" t="s">
        <v>26</v>
      </c>
      <c r="C185" t="s">
        <v>20</v>
      </c>
      <c r="D185" t="s">
        <v>15</v>
      </c>
      <c r="E185" t="s">
        <v>16</v>
      </c>
      <c r="F185">
        <v>53</v>
      </c>
      <c r="G185">
        <v>8.26</v>
      </c>
      <c r="H185">
        <v>0.04</v>
      </c>
      <c r="I185">
        <v>0.77</v>
      </c>
      <c r="J185">
        <v>4.24</v>
      </c>
      <c r="K185">
        <v>0</v>
      </c>
      <c r="L185">
        <v>27.39</v>
      </c>
      <c r="M185">
        <f t="shared" si="4"/>
        <v>2.12</v>
      </c>
      <c r="N185">
        <f t="shared" si="5"/>
        <v>40.81</v>
      </c>
    </row>
    <row r="186" spans="1:14" x14ac:dyDescent="0.35">
      <c r="A186" t="s">
        <v>34</v>
      </c>
      <c r="B186" t="s">
        <v>26</v>
      </c>
      <c r="C186" t="s">
        <v>20</v>
      </c>
      <c r="D186" t="s">
        <v>17</v>
      </c>
      <c r="E186" t="s">
        <v>16</v>
      </c>
      <c r="F186">
        <v>57</v>
      </c>
      <c r="G186">
        <v>8.02</v>
      </c>
      <c r="H186">
        <v>0.02</v>
      </c>
      <c r="I186">
        <v>0.8</v>
      </c>
      <c r="J186">
        <v>4.17</v>
      </c>
      <c r="K186">
        <v>0</v>
      </c>
      <c r="L186">
        <v>27.03</v>
      </c>
      <c r="M186">
        <f t="shared" si="4"/>
        <v>1.1400000000000001</v>
      </c>
      <c r="N186">
        <f t="shared" si="5"/>
        <v>45.6</v>
      </c>
    </row>
    <row r="187" spans="1:14" x14ac:dyDescent="0.35">
      <c r="A187" t="s">
        <v>34</v>
      </c>
      <c r="B187" t="s">
        <v>26</v>
      </c>
      <c r="C187" t="s">
        <v>20</v>
      </c>
      <c r="D187" t="s">
        <v>18</v>
      </c>
      <c r="E187" t="s">
        <v>16</v>
      </c>
      <c r="F187">
        <v>62</v>
      </c>
      <c r="G187">
        <v>9.2799999999999994</v>
      </c>
      <c r="H187">
        <v>0.13</v>
      </c>
      <c r="I187">
        <v>0.69</v>
      </c>
      <c r="J187">
        <v>3.92</v>
      </c>
      <c r="K187">
        <v>3</v>
      </c>
      <c r="L187">
        <v>34.92</v>
      </c>
      <c r="M187">
        <f t="shared" si="4"/>
        <v>8.06</v>
      </c>
      <c r="N187">
        <f t="shared" si="5"/>
        <v>42.779999999999994</v>
      </c>
    </row>
    <row r="188" spans="1:14" x14ac:dyDescent="0.35">
      <c r="A188" t="s">
        <v>34</v>
      </c>
      <c r="B188" t="s">
        <v>26</v>
      </c>
      <c r="C188" t="s">
        <v>22</v>
      </c>
      <c r="D188" t="s">
        <v>15</v>
      </c>
      <c r="E188" t="s">
        <v>19</v>
      </c>
      <c r="F188">
        <v>79</v>
      </c>
      <c r="G188">
        <v>7.85</v>
      </c>
      <c r="H188">
        <v>0.08</v>
      </c>
      <c r="I188">
        <v>0.88</v>
      </c>
      <c r="J188">
        <v>4.2699999999999996</v>
      </c>
      <c r="K188">
        <v>1</v>
      </c>
      <c r="L188">
        <v>28.78</v>
      </c>
      <c r="M188">
        <f t="shared" si="4"/>
        <v>6.32</v>
      </c>
      <c r="N188">
        <f t="shared" si="5"/>
        <v>69.52</v>
      </c>
    </row>
    <row r="189" spans="1:14" x14ac:dyDescent="0.35">
      <c r="A189" t="s">
        <v>34</v>
      </c>
      <c r="B189" t="s">
        <v>26</v>
      </c>
      <c r="C189" t="s">
        <v>22</v>
      </c>
      <c r="D189" t="s">
        <v>17</v>
      </c>
      <c r="E189" t="s">
        <v>16</v>
      </c>
      <c r="F189">
        <v>70</v>
      </c>
      <c r="G189">
        <v>7.63</v>
      </c>
      <c r="H189">
        <v>0.11</v>
      </c>
      <c r="I189">
        <v>0.88</v>
      </c>
      <c r="J189">
        <v>4.43</v>
      </c>
      <c r="K189">
        <v>2</v>
      </c>
      <c r="L189">
        <v>30.44</v>
      </c>
      <c r="M189">
        <f t="shared" si="4"/>
        <v>7.7</v>
      </c>
      <c r="N189">
        <f t="shared" si="5"/>
        <v>61.6</v>
      </c>
    </row>
    <row r="190" spans="1:14" x14ac:dyDescent="0.35">
      <c r="A190" t="s">
        <v>34</v>
      </c>
      <c r="B190" t="s">
        <v>26</v>
      </c>
      <c r="C190" t="s">
        <v>22</v>
      </c>
      <c r="D190" t="s">
        <v>18</v>
      </c>
      <c r="E190" t="s">
        <v>16</v>
      </c>
      <c r="F190">
        <v>36</v>
      </c>
      <c r="G190">
        <v>8.15</v>
      </c>
      <c r="H190">
        <v>0.1</v>
      </c>
      <c r="I190">
        <v>0.8</v>
      </c>
      <c r="J190">
        <v>4.13</v>
      </c>
      <c r="K190">
        <v>0</v>
      </c>
      <c r="L190">
        <v>27.22</v>
      </c>
      <c r="M190">
        <f t="shared" si="4"/>
        <v>3.6</v>
      </c>
      <c r="N190">
        <f t="shared" si="5"/>
        <v>28.8</v>
      </c>
    </row>
    <row r="191" spans="1:14" x14ac:dyDescent="0.35">
      <c r="A191" t="s">
        <v>34</v>
      </c>
      <c r="B191" t="s">
        <v>26</v>
      </c>
      <c r="C191" t="s">
        <v>23</v>
      </c>
      <c r="D191" t="s">
        <v>15</v>
      </c>
      <c r="E191" t="s">
        <v>19</v>
      </c>
      <c r="F191">
        <v>43</v>
      </c>
      <c r="G191">
        <v>9.48</v>
      </c>
      <c r="H191">
        <v>7.0000000000000007E-2</v>
      </c>
      <c r="I191">
        <v>0.76</v>
      </c>
      <c r="J191">
        <v>3.82</v>
      </c>
      <c r="K191">
        <v>0</v>
      </c>
      <c r="L191">
        <v>29.22</v>
      </c>
      <c r="M191">
        <f t="shared" si="4"/>
        <v>3.0100000000000002</v>
      </c>
      <c r="N191">
        <f t="shared" si="5"/>
        <v>32.68</v>
      </c>
    </row>
    <row r="192" spans="1:14" x14ac:dyDescent="0.35">
      <c r="A192" t="s">
        <v>34</v>
      </c>
      <c r="B192" t="s">
        <v>26</v>
      </c>
      <c r="C192" t="s">
        <v>23</v>
      </c>
      <c r="D192" t="s">
        <v>17</v>
      </c>
      <c r="E192" t="s">
        <v>21</v>
      </c>
      <c r="F192">
        <v>48</v>
      </c>
      <c r="G192">
        <v>8.02</v>
      </c>
      <c r="H192">
        <v>0.11</v>
      </c>
      <c r="I192">
        <v>0.82</v>
      </c>
      <c r="J192">
        <v>4.22</v>
      </c>
      <c r="K192">
        <v>1</v>
      </c>
      <c r="L192">
        <v>29.03</v>
      </c>
      <c r="M192">
        <f t="shared" si="4"/>
        <v>5.28</v>
      </c>
      <c r="N192">
        <f t="shared" si="5"/>
        <v>39.36</v>
      </c>
    </row>
    <row r="193" spans="1:14" x14ac:dyDescent="0.35">
      <c r="A193" t="s">
        <v>34</v>
      </c>
      <c r="B193" t="s">
        <v>26</v>
      </c>
      <c r="C193" t="s">
        <v>23</v>
      </c>
      <c r="D193" t="s">
        <v>18</v>
      </c>
      <c r="E193" t="s">
        <v>19</v>
      </c>
      <c r="F193">
        <v>61</v>
      </c>
      <c r="G193">
        <v>6.93</v>
      </c>
      <c r="H193">
        <v>0.19</v>
      </c>
      <c r="I193">
        <v>0.72</v>
      </c>
      <c r="J193">
        <v>3.61</v>
      </c>
      <c r="K193">
        <v>0</v>
      </c>
      <c r="L193">
        <v>25.4</v>
      </c>
      <c r="M193">
        <f t="shared" si="4"/>
        <v>11.59</v>
      </c>
      <c r="N193">
        <f t="shared" si="5"/>
        <v>43.92</v>
      </c>
    </row>
    <row r="194" spans="1:14" x14ac:dyDescent="0.35">
      <c r="A194" t="s">
        <v>34</v>
      </c>
      <c r="B194" t="s">
        <v>26</v>
      </c>
      <c r="C194" t="s">
        <v>24</v>
      </c>
      <c r="D194" t="s">
        <v>15</v>
      </c>
      <c r="E194" t="s">
        <v>19</v>
      </c>
      <c r="F194">
        <v>44</v>
      </c>
      <c r="G194">
        <v>7.24</v>
      </c>
      <c r="H194">
        <v>0.27</v>
      </c>
      <c r="I194">
        <v>0.86</v>
      </c>
      <c r="J194">
        <v>4.47</v>
      </c>
      <c r="K194">
        <v>0</v>
      </c>
      <c r="L194">
        <v>25.86</v>
      </c>
      <c r="M194">
        <f t="shared" si="4"/>
        <v>11.88</v>
      </c>
      <c r="N194">
        <f t="shared" si="5"/>
        <v>37.839999999999996</v>
      </c>
    </row>
    <row r="195" spans="1:14" x14ac:dyDescent="0.35">
      <c r="A195" t="s">
        <v>34</v>
      </c>
      <c r="B195" t="s">
        <v>26</v>
      </c>
      <c r="C195" t="s">
        <v>24</v>
      </c>
      <c r="D195" t="s">
        <v>17</v>
      </c>
      <c r="E195" t="s">
        <v>16</v>
      </c>
      <c r="F195">
        <v>73</v>
      </c>
      <c r="G195">
        <v>5.83</v>
      </c>
      <c r="H195">
        <v>0.12</v>
      </c>
      <c r="I195">
        <v>0.83</v>
      </c>
      <c r="J195">
        <v>4.21</v>
      </c>
      <c r="K195">
        <v>0</v>
      </c>
      <c r="L195">
        <v>23.74</v>
      </c>
      <c r="M195">
        <f t="shared" ref="M195:M258" si="6">SUM(F195*H195)</f>
        <v>8.76</v>
      </c>
      <c r="N195">
        <f t="shared" ref="N195:N258" si="7">SUM(I195*F195)</f>
        <v>60.589999999999996</v>
      </c>
    </row>
    <row r="196" spans="1:14" x14ac:dyDescent="0.35">
      <c r="A196" t="s">
        <v>34</v>
      </c>
      <c r="B196" t="s">
        <v>26</v>
      </c>
      <c r="C196" t="s">
        <v>24</v>
      </c>
      <c r="D196" t="s">
        <v>18</v>
      </c>
      <c r="E196" t="s">
        <v>16</v>
      </c>
      <c r="F196">
        <v>63</v>
      </c>
      <c r="G196">
        <v>8.58</v>
      </c>
      <c r="H196">
        <v>0.14000000000000001</v>
      </c>
      <c r="I196">
        <v>0.71</v>
      </c>
      <c r="J196">
        <v>3.86</v>
      </c>
      <c r="K196">
        <v>0</v>
      </c>
      <c r="L196">
        <v>27.87</v>
      </c>
      <c r="M196">
        <f t="shared" si="6"/>
        <v>8.82</v>
      </c>
      <c r="N196">
        <f t="shared" si="7"/>
        <v>44.73</v>
      </c>
    </row>
    <row r="197" spans="1:14" x14ac:dyDescent="0.35">
      <c r="A197" t="s">
        <v>34</v>
      </c>
      <c r="B197" t="s">
        <v>27</v>
      </c>
      <c r="C197" t="s">
        <v>14</v>
      </c>
      <c r="D197" t="s">
        <v>15</v>
      </c>
      <c r="E197" t="s">
        <v>21</v>
      </c>
      <c r="F197">
        <v>41</v>
      </c>
      <c r="G197">
        <v>7.46</v>
      </c>
      <c r="H197">
        <v>7.0000000000000007E-2</v>
      </c>
      <c r="I197">
        <v>0.82</v>
      </c>
      <c r="J197">
        <v>4.59</v>
      </c>
      <c r="K197">
        <v>0</v>
      </c>
      <c r="L197">
        <v>26.19</v>
      </c>
      <c r="M197">
        <f t="shared" si="6"/>
        <v>2.87</v>
      </c>
      <c r="N197">
        <f t="shared" si="7"/>
        <v>33.619999999999997</v>
      </c>
    </row>
    <row r="198" spans="1:14" x14ac:dyDescent="0.35">
      <c r="A198" t="s">
        <v>34</v>
      </c>
      <c r="B198" t="s">
        <v>27</v>
      </c>
      <c r="C198" t="s">
        <v>14</v>
      </c>
      <c r="D198" t="s">
        <v>17</v>
      </c>
      <c r="E198" t="s">
        <v>21</v>
      </c>
      <c r="F198">
        <v>65</v>
      </c>
      <c r="G198">
        <v>7.82</v>
      </c>
      <c r="H198">
        <v>0.08</v>
      </c>
      <c r="I198">
        <v>0.79</v>
      </c>
      <c r="J198">
        <v>4.63</v>
      </c>
      <c r="K198">
        <v>0</v>
      </c>
      <c r="L198">
        <v>26.73</v>
      </c>
      <c r="M198">
        <f t="shared" si="6"/>
        <v>5.2</v>
      </c>
      <c r="N198">
        <f t="shared" si="7"/>
        <v>51.35</v>
      </c>
    </row>
    <row r="199" spans="1:14" x14ac:dyDescent="0.35">
      <c r="A199" t="s">
        <v>34</v>
      </c>
      <c r="B199" t="s">
        <v>27</v>
      </c>
      <c r="C199" t="s">
        <v>14</v>
      </c>
      <c r="D199" t="s">
        <v>18</v>
      </c>
      <c r="E199" t="s">
        <v>16</v>
      </c>
      <c r="F199">
        <v>54</v>
      </c>
      <c r="G199">
        <v>7.21</v>
      </c>
      <c r="H199">
        <v>0.11</v>
      </c>
      <c r="I199">
        <v>0.62</v>
      </c>
      <c r="J199">
        <v>4.3499999999999996</v>
      </c>
      <c r="K199">
        <v>0</v>
      </c>
      <c r="L199">
        <v>25.82</v>
      </c>
      <c r="M199">
        <f t="shared" si="6"/>
        <v>5.94</v>
      </c>
      <c r="N199">
        <f t="shared" si="7"/>
        <v>33.479999999999997</v>
      </c>
    </row>
    <row r="200" spans="1:14" x14ac:dyDescent="0.35">
      <c r="A200" t="s">
        <v>34</v>
      </c>
      <c r="B200" t="s">
        <v>27</v>
      </c>
      <c r="C200" t="s">
        <v>20</v>
      </c>
      <c r="D200" t="s">
        <v>15</v>
      </c>
      <c r="E200" t="s">
        <v>16</v>
      </c>
      <c r="F200">
        <v>64</v>
      </c>
      <c r="G200">
        <v>6.21</v>
      </c>
      <c r="H200">
        <v>0.12</v>
      </c>
      <c r="I200">
        <v>0.77</v>
      </c>
      <c r="J200">
        <v>4.76</v>
      </c>
      <c r="K200">
        <v>0</v>
      </c>
      <c r="L200">
        <v>24.32</v>
      </c>
      <c r="M200">
        <f t="shared" si="6"/>
        <v>7.68</v>
      </c>
      <c r="N200">
        <f t="shared" si="7"/>
        <v>49.28</v>
      </c>
    </row>
    <row r="201" spans="1:14" x14ac:dyDescent="0.35">
      <c r="A201" t="s">
        <v>34</v>
      </c>
      <c r="B201" t="s">
        <v>27</v>
      </c>
      <c r="C201" t="s">
        <v>20</v>
      </c>
      <c r="D201" t="s">
        <v>17</v>
      </c>
      <c r="E201" t="s">
        <v>19</v>
      </c>
      <c r="F201">
        <v>32</v>
      </c>
      <c r="G201">
        <v>8.66</v>
      </c>
      <c r="H201">
        <v>0.16</v>
      </c>
      <c r="I201">
        <v>0.8</v>
      </c>
      <c r="J201">
        <v>4.08</v>
      </c>
      <c r="K201">
        <v>1</v>
      </c>
      <c r="L201">
        <v>29.99</v>
      </c>
      <c r="M201">
        <f t="shared" si="6"/>
        <v>5.12</v>
      </c>
      <c r="N201">
        <f t="shared" si="7"/>
        <v>25.6</v>
      </c>
    </row>
    <row r="202" spans="1:14" x14ac:dyDescent="0.35">
      <c r="A202" t="s">
        <v>34</v>
      </c>
      <c r="B202" t="s">
        <v>27</v>
      </c>
      <c r="C202" t="s">
        <v>20</v>
      </c>
      <c r="D202" t="s">
        <v>18</v>
      </c>
      <c r="E202" t="s">
        <v>19</v>
      </c>
      <c r="F202">
        <v>34</v>
      </c>
      <c r="G202">
        <v>8.15</v>
      </c>
      <c r="H202">
        <v>0.23</v>
      </c>
      <c r="I202">
        <v>0.64</v>
      </c>
      <c r="J202">
        <v>3.72</v>
      </c>
      <c r="K202">
        <v>0</v>
      </c>
      <c r="L202">
        <v>27.22</v>
      </c>
      <c r="M202">
        <f t="shared" si="6"/>
        <v>7.82</v>
      </c>
      <c r="N202">
        <f t="shared" si="7"/>
        <v>21.76</v>
      </c>
    </row>
    <row r="203" spans="1:14" x14ac:dyDescent="0.35">
      <c r="A203" t="s">
        <v>34</v>
      </c>
      <c r="B203" t="s">
        <v>27</v>
      </c>
      <c r="C203" t="s">
        <v>22</v>
      </c>
      <c r="D203" t="s">
        <v>15</v>
      </c>
      <c r="E203" t="s">
        <v>21</v>
      </c>
      <c r="F203">
        <v>66</v>
      </c>
      <c r="G203">
        <v>6.11</v>
      </c>
      <c r="H203">
        <v>0.09</v>
      </c>
      <c r="I203">
        <v>0.87</v>
      </c>
      <c r="J203">
        <v>4.42</v>
      </c>
      <c r="K203">
        <v>0</v>
      </c>
      <c r="L203">
        <v>24.16</v>
      </c>
      <c r="M203">
        <f t="shared" si="6"/>
        <v>5.9399999999999995</v>
      </c>
      <c r="N203">
        <f t="shared" si="7"/>
        <v>57.42</v>
      </c>
    </row>
    <row r="204" spans="1:14" x14ac:dyDescent="0.35">
      <c r="A204" t="s">
        <v>34</v>
      </c>
      <c r="B204" t="s">
        <v>27</v>
      </c>
      <c r="C204" t="s">
        <v>22</v>
      </c>
      <c r="D204" t="s">
        <v>17</v>
      </c>
      <c r="E204" t="s">
        <v>21</v>
      </c>
      <c r="F204">
        <v>35</v>
      </c>
      <c r="G204">
        <v>7.24</v>
      </c>
      <c r="H204">
        <v>0.06</v>
      </c>
      <c r="I204">
        <v>0.76</v>
      </c>
      <c r="J204">
        <v>4.1900000000000004</v>
      </c>
      <c r="K204">
        <v>2</v>
      </c>
      <c r="L204">
        <v>29.86</v>
      </c>
      <c r="M204">
        <f t="shared" si="6"/>
        <v>2.1</v>
      </c>
      <c r="N204">
        <f t="shared" si="7"/>
        <v>26.6</v>
      </c>
    </row>
    <row r="205" spans="1:14" x14ac:dyDescent="0.35">
      <c r="A205" t="s">
        <v>34</v>
      </c>
      <c r="B205" t="s">
        <v>27</v>
      </c>
      <c r="C205" t="s">
        <v>22</v>
      </c>
      <c r="D205" t="s">
        <v>18</v>
      </c>
      <c r="E205" t="s">
        <v>19</v>
      </c>
      <c r="F205">
        <v>64</v>
      </c>
      <c r="G205">
        <v>7.3</v>
      </c>
      <c r="H205">
        <v>0.16</v>
      </c>
      <c r="I205">
        <v>0.83</v>
      </c>
      <c r="J205">
        <v>3.91</v>
      </c>
      <c r="K205">
        <v>0</v>
      </c>
      <c r="L205">
        <v>25.95</v>
      </c>
      <c r="M205">
        <f t="shared" si="6"/>
        <v>10.24</v>
      </c>
      <c r="N205">
        <f t="shared" si="7"/>
        <v>53.12</v>
      </c>
    </row>
    <row r="206" spans="1:14" x14ac:dyDescent="0.35">
      <c r="A206" t="s">
        <v>34</v>
      </c>
      <c r="B206" t="s">
        <v>27</v>
      </c>
      <c r="C206" t="s">
        <v>23</v>
      </c>
      <c r="D206" t="s">
        <v>15</v>
      </c>
      <c r="E206" t="s">
        <v>19</v>
      </c>
      <c r="F206">
        <v>71</v>
      </c>
      <c r="G206">
        <v>7.02</v>
      </c>
      <c r="H206">
        <v>0.22</v>
      </c>
      <c r="I206">
        <v>0.75</v>
      </c>
      <c r="J206">
        <v>3.92</v>
      </c>
      <c r="K206">
        <v>3</v>
      </c>
      <c r="L206">
        <v>31.53</v>
      </c>
      <c r="M206">
        <f t="shared" si="6"/>
        <v>15.62</v>
      </c>
      <c r="N206">
        <f t="shared" si="7"/>
        <v>53.25</v>
      </c>
    </row>
    <row r="207" spans="1:14" x14ac:dyDescent="0.35">
      <c r="A207" t="s">
        <v>34</v>
      </c>
      <c r="B207" t="s">
        <v>27</v>
      </c>
      <c r="C207" t="s">
        <v>23</v>
      </c>
      <c r="D207" t="s">
        <v>17</v>
      </c>
      <c r="E207" t="s">
        <v>16</v>
      </c>
      <c r="F207">
        <v>76</v>
      </c>
      <c r="G207">
        <v>5.04</v>
      </c>
      <c r="H207">
        <v>0.09</v>
      </c>
      <c r="I207">
        <v>0.8</v>
      </c>
      <c r="J207">
        <v>4.1900000000000004</v>
      </c>
      <c r="K207">
        <v>0</v>
      </c>
      <c r="L207">
        <v>22.56</v>
      </c>
      <c r="M207">
        <f t="shared" si="6"/>
        <v>6.84</v>
      </c>
      <c r="N207">
        <f t="shared" si="7"/>
        <v>60.800000000000004</v>
      </c>
    </row>
    <row r="208" spans="1:14" x14ac:dyDescent="0.35">
      <c r="A208" t="s">
        <v>34</v>
      </c>
      <c r="B208" t="s">
        <v>27</v>
      </c>
      <c r="C208" t="s">
        <v>23</v>
      </c>
      <c r="D208" t="s">
        <v>18</v>
      </c>
      <c r="E208" t="s">
        <v>19</v>
      </c>
      <c r="F208">
        <v>45</v>
      </c>
      <c r="G208">
        <v>7.56</v>
      </c>
      <c r="H208">
        <v>0.09</v>
      </c>
      <c r="I208">
        <v>0.65</v>
      </c>
      <c r="J208">
        <v>4.45</v>
      </c>
      <c r="K208">
        <v>0</v>
      </c>
      <c r="L208">
        <v>26.34</v>
      </c>
      <c r="M208">
        <f t="shared" si="6"/>
        <v>4.05</v>
      </c>
      <c r="N208">
        <f t="shared" si="7"/>
        <v>29.25</v>
      </c>
    </row>
    <row r="209" spans="1:14" x14ac:dyDescent="0.35">
      <c r="A209" t="s">
        <v>34</v>
      </c>
      <c r="B209" t="s">
        <v>27</v>
      </c>
      <c r="C209" t="s">
        <v>24</v>
      </c>
      <c r="D209" t="s">
        <v>15</v>
      </c>
      <c r="E209" t="s">
        <v>19</v>
      </c>
      <c r="F209">
        <v>76</v>
      </c>
      <c r="G209">
        <v>7.62</v>
      </c>
      <c r="H209">
        <v>0.09</v>
      </c>
      <c r="I209">
        <v>0.85</v>
      </c>
      <c r="J209">
        <v>4.59</v>
      </c>
      <c r="K209">
        <v>2</v>
      </c>
      <c r="L209">
        <v>30.43</v>
      </c>
      <c r="M209">
        <f t="shared" si="6"/>
        <v>6.84</v>
      </c>
      <c r="N209">
        <f t="shared" si="7"/>
        <v>64.599999999999994</v>
      </c>
    </row>
    <row r="210" spans="1:14" x14ac:dyDescent="0.35">
      <c r="A210" t="s">
        <v>34</v>
      </c>
      <c r="B210" t="s">
        <v>27</v>
      </c>
      <c r="C210" t="s">
        <v>24</v>
      </c>
      <c r="D210" t="s">
        <v>17</v>
      </c>
      <c r="E210" t="s">
        <v>16</v>
      </c>
      <c r="F210">
        <v>79</v>
      </c>
      <c r="G210">
        <v>8.17</v>
      </c>
      <c r="H210">
        <v>0.13</v>
      </c>
      <c r="I210">
        <v>0.87</v>
      </c>
      <c r="J210">
        <v>3.65</v>
      </c>
      <c r="K210">
        <v>1</v>
      </c>
      <c r="L210">
        <v>29.26</v>
      </c>
      <c r="M210">
        <f t="shared" si="6"/>
        <v>10.27</v>
      </c>
      <c r="N210">
        <f t="shared" si="7"/>
        <v>68.73</v>
      </c>
    </row>
    <row r="211" spans="1:14" x14ac:dyDescent="0.35">
      <c r="A211" t="s">
        <v>34</v>
      </c>
      <c r="B211" t="s">
        <v>27</v>
      </c>
      <c r="C211" t="s">
        <v>24</v>
      </c>
      <c r="D211" t="s">
        <v>18</v>
      </c>
      <c r="E211" t="s">
        <v>21</v>
      </c>
      <c r="F211">
        <v>30</v>
      </c>
      <c r="G211">
        <v>6.98</v>
      </c>
      <c r="H211">
        <v>0.05</v>
      </c>
      <c r="I211">
        <v>0.76</v>
      </c>
      <c r="J211">
        <v>4.01</v>
      </c>
      <c r="K211">
        <v>1</v>
      </c>
      <c r="L211">
        <v>27.47</v>
      </c>
      <c r="M211">
        <f t="shared" si="6"/>
        <v>1.5</v>
      </c>
      <c r="N211">
        <f t="shared" si="7"/>
        <v>22.8</v>
      </c>
    </row>
    <row r="212" spans="1:14" x14ac:dyDescent="0.35">
      <c r="A212" t="s">
        <v>34</v>
      </c>
      <c r="B212" t="s">
        <v>28</v>
      </c>
      <c r="C212" t="s">
        <v>14</v>
      </c>
      <c r="D212" t="s">
        <v>15</v>
      </c>
      <c r="E212" t="s">
        <v>19</v>
      </c>
      <c r="F212">
        <v>57</v>
      </c>
      <c r="G212">
        <v>7.84</v>
      </c>
      <c r="H212">
        <v>0.13</v>
      </c>
      <c r="I212">
        <v>0.88</v>
      </c>
      <c r="J212">
        <v>4.79</v>
      </c>
      <c r="K212">
        <v>1</v>
      </c>
      <c r="L212">
        <v>28.76</v>
      </c>
      <c r="M212">
        <f t="shared" si="6"/>
        <v>7.41</v>
      </c>
      <c r="N212">
        <f t="shared" si="7"/>
        <v>50.160000000000004</v>
      </c>
    </row>
    <row r="213" spans="1:14" x14ac:dyDescent="0.35">
      <c r="A213" t="s">
        <v>34</v>
      </c>
      <c r="B213" t="s">
        <v>28</v>
      </c>
      <c r="C213" t="s">
        <v>14</v>
      </c>
      <c r="D213" t="s">
        <v>17</v>
      </c>
      <c r="E213" t="s">
        <v>19</v>
      </c>
      <c r="F213">
        <v>60</v>
      </c>
      <c r="G213">
        <v>6.39</v>
      </c>
      <c r="H213">
        <v>0.23</v>
      </c>
      <c r="I213">
        <v>0.88</v>
      </c>
      <c r="J213">
        <v>4.03</v>
      </c>
      <c r="K213">
        <v>0</v>
      </c>
      <c r="L213">
        <v>24.58</v>
      </c>
      <c r="M213">
        <f t="shared" si="6"/>
        <v>13.8</v>
      </c>
      <c r="N213">
        <f t="shared" si="7"/>
        <v>52.8</v>
      </c>
    </row>
    <row r="214" spans="1:14" x14ac:dyDescent="0.35">
      <c r="A214" t="s">
        <v>34</v>
      </c>
      <c r="B214" t="s">
        <v>28</v>
      </c>
      <c r="C214" t="s">
        <v>14</v>
      </c>
      <c r="D214" t="s">
        <v>18</v>
      </c>
      <c r="E214" t="s">
        <v>16</v>
      </c>
      <c r="F214">
        <v>35</v>
      </c>
      <c r="G214">
        <v>8.2899999999999991</v>
      </c>
      <c r="H214">
        <v>7.0000000000000007E-2</v>
      </c>
      <c r="I214">
        <v>0.67</v>
      </c>
      <c r="J214">
        <v>4.34</v>
      </c>
      <c r="K214">
        <v>0</v>
      </c>
      <c r="L214">
        <v>27.44</v>
      </c>
      <c r="M214">
        <f t="shared" si="6"/>
        <v>2.4500000000000002</v>
      </c>
      <c r="N214">
        <f t="shared" si="7"/>
        <v>23.450000000000003</v>
      </c>
    </row>
    <row r="215" spans="1:14" x14ac:dyDescent="0.35">
      <c r="A215" t="s">
        <v>34</v>
      </c>
      <c r="B215" t="s">
        <v>28</v>
      </c>
      <c r="C215" t="s">
        <v>20</v>
      </c>
      <c r="D215" t="s">
        <v>15</v>
      </c>
      <c r="E215" t="s">
        <v>16</v>
      </c>
      <c r="F215">
        <v>36</v>
      </c>
      <c r="G215">
        <v>7.11</v>
      </c>
      <c r="H215">
        <v>0.09</v>
      </c>
      <c r="I215">
        <v>0.81</v>
      </c>
      <c r="J215">
        <v>4.21</v>
      </c>
      <c r="K215">
        <v>0</v>
      </c>
      <c r="L215">
        <v>25.66</v>
      </c>
      <c r="M215">
        <f t="shared" si="6"/>
        <v>3.2399999999999998</v>
      </c>
      <c r="N215">
        <f t="shared" si="7"/>
        <v>29.160000000000004</v>
      </c>
    </row>
    <row r="216" spans="1:14" x14ac:dyDescent="0.35">
      <c r="A216" t="s">
        <v>34</v>
      </c>
      <c r="B216" t="s">
        <v>28</v>
      </c>
      <c r="C216" t="s">
        <v>20</v>
      </c>
      <c r="D216" t="s">
        <v>17</v>
      </c>
      <c r="E216" t="s">
        <v>16</v>
      </c>
      <c r="F216">
        <v>64</v>
      </c>
      <c r="G216">
        <v>9.14</v>
      </c>
      <c r="H216">
        <v>0.1</v>
      </c>
      <c r="I216">
        <v>0.82</v>
      </c>
      <c r="J216">
        <v>3.99</v>
      </c>
      <c r="K216">
        <v>2</v>
      </c>
      <c r="L216">
        <v>32.71</v>
      </c>
      <c r="M216">
        <f t="shared" si="6"/>
        <v>6.4</v>
      </c>
      <c r="N216">
        <f t="shared" si="7"/>
        <v>52.48</v>
      </c>
    </row>
    <row r="217" spans="1:14" x14ac:dyDescent="0.35">
      <c r="A217" t="s">
        <v>34</v>
      </c>
      <c r="B217" t="s">
        <v>28</v>
      </c>
      <c r="C217" t="s">
        <v>20</v>
      </c>
      <c r="D217" t="s">
        <v>18</v>
      </c>
      <c r="E217" t="s">
        <v>16</v>
      </c>
      <c r="F217">
        <v>35</v>
      </c>
      <c r="G217">
        <v>8.51</v>
      </c>
      <c r="H217">
        <v>0.14000000000000001</v>
      </c>
      <c r="I217">
        <v>0.8</v>
      </c>
      <c r="J217">
        <v>3.64</v>
      </c>
      <c r="K217">
        <v>0</v>
      </c>
      <c r="L217">
        <v>27.76</v>
      </c>
      <c r="M217">
        <f t="shared" si="6"/>
        <v>4.9000000000000004</v>
      </c>
      <c r="N217">
        <f t="shared" si="7"/>
        <v>28</v>
      </c>
    </row>
    <row r="218" spans="1:14" x14ac:dyDescent="0.35">
      <c r="A218" t="s">
        <v>34</v>
      </c>
      <c r="B218" t="s">
        <v>28</v>
      </c>
      <c r="C218" t="s">
        <v>22</v>
      </c>
      <c r="D218" t="s">
        <v>15</v>
      </c>
      <c r="E218" t="s">
        <v>16</v>
      </c>
      <c r="F218">
        <v>44</v>
      </c>
      <c r="G218">
        <v>9.83</v>
      </c>
      <c r="H218">
        <v>0.12</v>
      </c>
      <c r="I218">
        <v>0.87</v>
      </c>
      <c r="J218">
        <v>4.43</v>
      </c>
      <c r="K218">
        <v>3</v>
      </c>
      <c r="L218">
        <v>35.75</v>
      </c>
      <c r="M218">
        <f t="shared" si="6"/>
        <v>5.2799999999999994</v>
      </c>
      <c r="N218">
        <f t="shared" si="7"/>
        <v>38.28</v>
      </c>
    </row>
    <row r="219" spans="1:14" x14ac:dyDescent="0.35">
      <c r="A219" t="s">
        <v>34</v>
      </c>
      <c r="B219" t="s">
        <v>28</v>
      </c>
      <c r="C219" t="s">
        <v>22</v>
      </c>
      <c r="D219" t="s">
        <v>17</v>
      </c>
      <c r="E219" t="s">
        <v>19</v>
      </c>
      <c r="F219">
        <v>52</v>
      </c>
      <c r="G219">
        <v>8.23</v>
      </c>
      <c r="H219">
        <v>0.16</v>
      </c>
      <c r="I219">
        <v>0.88</v>
      </c>
      <c r="J219">
        <v>3.59</v>
      </c>
      <c r="K219">
        <v>3</v>
      </c>
      <c r="L219">
        <v>33.340000000000003</v>
      </c>
      <c r="M219">
        <f t="shared" si="6"/>
        <v>8.32</v>
      </c>
      <c r="N219">
        <f t="shared" si="7"/>
        <v>45.76</v>
      </c>
    </row>
    <row r="220" spans="1:14" x14ac:dyDescent="0.35">
      <c r="A220" t="s">
        <v>34</v>
      </c>
      <c r="B220" t="s">
        <v>28</v>
      </c>
      <c r="C220" t="s">
        <v>22</v>
      </c>
      <c r="D220" t="s">
        <v>18</v>
      </c>
      <c r="E220" t="s">
        <v>16</v>
      </c>
      <c r="F220">
        <v>44</v>
      </c>
      <c r="G220">
        <v>7.4</v>
      </c>
      <c r="H220">
        <v>0.05</v>
      </c>
      <c r="I220">
        <v>0.64</v>
      </c>
      <c r="J220">
        <v>4.3</v>
      </c>
      <c r="K220">
        <v>0</v>
      </c>
      <c r="L220">
        <v>26.1</v>
      </c>
      <c r="M220">
        <f t="shared" si="6"/>
        <v>2.2000000000000002</v>
      </c>
      <c r="N220">
        <f t="shared" si="7"/>
        <v>28.16</v>
      </c>
    </row>
    <row r="221" spans="1:14" x14ac:dyDescent="0.35">
      <c r="A221" t="s">
        <v>34</v>
      </c>
      <c r="B221" t="s">
        <v>28</v>
      </c>
      <c r="C221" t="s">
        <v>23</v>
      </c>
      <c r="D221" t="s">
        <v>15</v>
      </c>
      <c r="E221" t="s">
        <v>16</v>
      </c>
      <c r="F221">
        <v>58</v>
      </c>
      <c r="G221">
        <v>6.09</v>
      </c>
      <c r="H221">
        <v>0.12</v>
      </c>
      <c r="I221">
        <v>0.83</v>
      </c>
      <c r="J221">
        <v>3.9</v>
      </c>
      <c r="K221">
        <v>1</v>
      </c>
      <c r="L221">
        <v>26.14</v>
      </c>
      <c r="M221">
        <f t="shared" si="6"/>
        <v>6.96</v>
      </c>
      <c r="N221">
        <f t="shared" si="7"/>
        <v>48.14</v>
      </c>
    </row>
    <row r="222" spans="1:14" x14ac:dyDescent="0.35">
      <c r="A222" t="s">
        <v>34</v>
      </c>
      <c r="B222" t="s">
        <v>28</v>
      </c>
      <c r="C222" t="s">
        <v>23</v>
      </c>
      <c r="D222" t="s">
        <v>17</v>
      </c>
      <c r="E222" t="s">
        <v>21</v>
      </c>
      <c r="F222">
        <v>78</v>
      </c>
      <c r="G222">
        <v>6.44</v>
      </c>
      <c r="H222">
        <v>0.13</v>
      </c>
      <c r="I222">
        <v>0.87</v>
      </c>
      <c r="J222">
        <v>3.74</v>
      </c>
      <c r="K222">
        <v>0</v>
      </c>
      <c r="L222">
        <v>24.66</v>
      </c>
      <c r="M222">
        <f t="shared" si="6"/>
        <v>10.14</v>
      </c>
      <c r="N222">
        <f t="shared" si="7"/>
        <v>67.86</v>
      </c>
    </row>
    <row r="223" spans="1:14" x14ac:dyDescent="0.35">
      <c r="A223" t="s">
        <v>34</v>
      </c>
      <c r="B223" t="s">
        <v>28</v>
      </c>
      <c r="C223" t="s">
        <v>23</v>
      </c>
      <c r="D223" t="s">
        <v>18</v>
      </c>
      <c r="E223" t="s">
        <v>21</v>
      </c>
      <c r="F223">
        <v>71</v>
      </c>
      <c r="G223">
        <v>7.56</v>
      </c>
      <c r="H223">
        <v>0.14000000000000001</v>
      </c>
      <c r="I223">
        <v>0.71</v>
      </c>
      <c r="J223">
        <v>3.61</v>
      </c>
      <c r="K223">
        <v>2</v>
      </c>
      <c r="L223">
        <v>30.34</v>
      </c>
      <c r="M223">
        <f t="shared" si="6"/>
        <v>9.9400000000000013</v>
      </c>
      <c r="N223">
        <f t="shared" si="7"/>
        <v>50.41</v>
      </c>
    </row>
    <row r="224" spans="1:14" x14ac:dyDescent="0.35">
      <c r="A224" t="s">
        <v>34</v>
      </c>
      <c r="B224" t="s">
        <v>28</v>
      </c>
      <c r="C224" t="s">
        <v>24</v>
      </c>
      <c r="D224" t="s">
        <v>15</v>
      </c>
      <c r="E224" t="s">
        <v>16</v>
      </c>
      <c r="F224">
        <v>74</v>
      </c>
      <c r="G224">
        <v>7.97</v>
      </c>
      <c r="H224">
        <v>0.1</v>
      </c>
      <c r="I224">
        <v>0.87</v>
      </c>
      <c r="J224">
        <v>4.6500000000000004</v>
      </c>
      <c r="K224">
        <v>0</v>
      </c>
      <c r="L224">
        <v>26.96</v>
      </c>
      <c r="M224">
        <f t="shared" si="6"/>
        <v>7.4</v>
      </c>
      <c r="N224">
        <f t="shared" si="7"/>
        <v>64.38</v>
      </c>
    </row>
    <row r="225" spans="1:14" x14ac:dyDescent="0.35">
      <c r="A225" t="s">
        <v>34</v>
      </c>
      <c r="B225" t="s">
        <v>28</v>
      </c>
      <c r="C225" t="s">
        <v>24</v>
      </c>
      <c r="D225" t="s">
        <v>17</v>
      </c>
      <c r="E225" t="s">
        <v>19</v>
      </c>
      <c r="F225">
        <v>39</v>
      </c>
      <c r="G225">
        <v>7.64</v>
      </c>
      <c r="H225">
        <v>0.09</v>
      </c>
      <c r="I225">
        <v>0.8</v>
      </c>
      <c r="J225">
        <v>4.68</v>
      </c>
      <c r="K225">
        <v>1</v>
      </c>
      <c r="L225">
        <v>28.46</v>
      </c>
      <c r="M225">
        <f t="shared" si="6"/>
        <v>3.51</v>
      </c>
      <c r="N225">
        <f t="shared" si="7"/>
        <v>31.200000000000003</v>
      </c>
    </row>
    <row r="226" spans="1:14" x14ac:dyDescent="0.35">
      <c r="A226" t="s">
        <v>34</v>
      </c>
      <c r="B226" t="s">
        <v>28</v>
      </c>
      <c r="C226" t="s">
        <v>24</v>
      </c>
      <c r="D226" t="s">
        <v>18</v>
      </c>
      <c r="E226" t="s">
        <v>16</v>
      </c>
      <c r="F226">
        <v>56</v>
      </c>
      <c r="G226">
        <v>6.78</v>
      </c>
      <c r="H226">
        <v>0.13</v>
      </c>
      <c r="I226">
        <v>0.71</v>
      </c>
      <c r="J226">
        <v>4.37</v>
      </c>
      <c r="K226">
        <v>0</v>
      </c>
      <c r="L226">
        <v>25.17</v>
      </c>
      <c r="M226">
        <f t="shared" si="6"/>
        <v>7.28</v>
      </c>
      <c r="N226">
        <f t="shared" si="7"/>
        <v>39.76</v>
      </c>
    </row>
    <row r="227" spans="1:14" x14ac:dyDescent="0.35">
      <c r="A227" t="s">
        <v>34</v>
      </c>
      <c r="B227" t="s">
        <v>29</v>
      </c>
      <c r="C227" t="s">
        <v>14</v>
      </c>
      <c r="D227" t="s">
        <v>15</v>
      </c>
      <c r="E227" t="s">
        <v>16</v>
      </c>
      <c r="F227">
        <v>62</v>
      </c>
      <c r="G227">
        <v>8.39</v>
      </c>
      <c r="H227">
        <v>0.08</v>
      </c>
      <c r="I227">
        <v>0.77</v>
      </c>
      <c r="J227">
        <v>3.81</v>
      </c>
      <c r="K227">
        <v>2</v>
      </c>
      <c r="L227">
        <v>31.58</v>
      </c>
      <c r="M227">
        <f t="shared" si="6"/>
        <v>4.96</v>
      </c>
      <c r="N227">
        <f t="shared" si="7"/>
        <v>47.74</v>
      </c>
    </row>
    <row r="228" spans="1:14" x14ac:dyDescent="0.35">
      <c r="A228" t="s">
        <v>34</v>
      </c>
      <c r="B228" t="s">
        <v>29</v>
      </c>
      <c r="C228" t="s">
        <v>14</v>
      </c>
      <c r="D228" t="s">
        <v>17</v>
      </c>
      <c r="E228" t="s">
        <v>16</v>
      </c>
      <c r="F228">
        <v>50</v>
      </c>
      <c r="G228">
        <v>8.7200000000000006</v>
      </c>
      <c r="H228">
        <v>0.09</v>
      </c>
      <c r="I228">
        <v>0.78</v>
      </c>
      <c r="J228">
        <v>4.01</v>
      </c>
      <c r="K228">
        <v>0</v>
      </c>
      <c r="L228">
        <v>28.08</v>
      </c>
      <c r="M228">
        <f t="shared" si="6"/>
        <v>4.5</v>
      </c>
      <c r="N228">
        <f t="shared" si="7"/>
        <v>39</v>
      </c>
    </row>
    <row r="229" spans="1:14" x14ac:dyDescent="0.35">
      <c r="A229" t="s">
        <v>34</v>
      </c>
      <c r="B229" t="s">
        <v>29</v>
      </c>
      <c r="C229" t="s">
        <v>14</v>
      </c>
      <c r="D229" t="s">
        <v>18</v>
      </c>
      <c r="E229" t="s">
        <v>16</v>
      </c>
      <c r="F229">
        <v>31</v>
      </c>
      <c r="G229">
        <v>9.1199999999999992</v>
      </c>
      <c r="H229">
        <v>0.06</v>
      </c>
      <c r="I229">
        <v>0.75</v>
      </c>
      <c r="J229">
        <v>4.38</v>
      </c>
      <c r="K229">
        <v>0</v>
      </c>
      <c r="L229">
        <v>28.68</v>
      </c>
      <c r="M229">
        <f t="shared" si="6"/>
        <v>1.8599999999999999</v>
      </c>
      <c r="N229">
        <f t="shared" si="7"/>
        <v>23.25</v>
      </c>
    </row>
    <row r="230" spans="1:14" x14ac:dyDescent="0.35">
      <c r="A230" t="s">
        <v>34</v>
      </c>
      <c r="B230" t="s">
        <v>29</v>
      </c>
      <c r="C230" t="s">
        <v>20</v>
      </c>
      <c r="D230" t="s">
        <v>15</v>
      </c>
      <c r="E230" t="s">
        <v>16</v>
      </c>
      <c r="F230">
        <v>70</v>
      </c>
      <c r="G230">
        <v>8.07</v>
      </c>
      <c r="H230">
        <v>0.06</v>
      </c>
      <c r="I230">
        <v>0.76</v>
      </c>
      <c r="J230">
        <v>3.61</v>
      </c>
      <c r="K230">
        <v>2</v>
      </c>
      <c r="L230">
        <v>31.1</v>
      </c>
      <c r="M230">
        <f t="shared" si="6"/>
        <v>4.2</v>
      </c>
      <c r="N230">
        <f t="shared" si="7"/>
        <v>53.2</v>
      </c>
    </row>
    <row r="231" spans="1:14" x14ac:dyDescent="0.35">
      <c r="A231" t="s">
        <v>34</v>
      </c>
      <c r="B231" t="s">
        <v>29</v>
      </c>
      <c r="C231" t="s">
        <v>20</v>
      </c>
      <c r="D231" t="s">
        <v>17</v>
      </c>
      <c r="E231" t="s">
        <v>19</v>
      </c>
      <c r="F231">
        <v>37</v>
      </c>
      <c r="G231">
        <v>9.1300000000000008</v>
      </c>
      <c r="H231">
        <v>0.14000000000000001</v>
      </c>
      <c r="I231">
        <v>0.8</v>
      </c>
      <c r="J231">
        <v>4.3</v>
      </c>
      <c r="K231">
        <v>0</v>
      </c>
      <c r="L231">
        <v>28.7</v>
      </c>
      <c r="M231">
        <f t="shared" si="6"/>
        <v>5.1800000000000006</v>
      </c>
      <c r="N231">
        <f t="shared" si="7"/>
        <v>29.6</v>
      </c>
    </row>
    <row r="232" spans="1:14" x14ac:dyDescent="0.35">
      <c r="A232" t="s">
        <v>34</v>
      </c>
      <c r="B232" t="s">
        <v>29</v>
      </c>
      <c r="C232" t="s">
        <v>20</v>
      </c>
      <c r="D232" t="s">
        <v>18</v>
      </c>
      <c r="E232" t="s">
        <v>21</v>
      </c>
      <c r="F232">
        <v>34</v>
      </c>
      <c r="G232">
        <v>7.7</v>
      </c>
      <c r="H232">
        <v>0.06</v>
      </c>
      <c r="I232">
        <v>0.75</v>
      </c>
      <c r="J232">
        <v>4.38</v>
      </c>
      <c r="K232">
        <v>0</v>
      </c>
      <c r="L232">
        <v>26.55</v>
      </c>
      <c r="M232">
        <f t="shared" si="6"/>
        <v>2.04</v>
      </c>
      <c r="N232">
        <f t="shared" si="7"/>
        <v>25.5</v>
      </c>
    </row>
    <row r="233" spans="1:14" x14ac:dyDescent="0.35">
      <c r="A233" t="s">
        <v>34</v>
      </c>
      <c r="B233" t="s">
        <v>29</v>
      </c>
      <c r="C233" t="s">
        <v>22</v>
      </c>
      <c r="D233" t="s">
        <v>15</v>
      </c>
      <c r="E233" t="s">
        <v>16</v>
      </c>
      <c r="F233">
        <v>51</v>
      </c>
      <c r="G233">
        <v>6.9</v>
      </c>
      <c r="H233">
        <v>0.11</v>
      </c>
      <c r="I233">
        <v>0.9</v>
      </c>
      <c r="J233">
        <v>4.3600000000000003</v>
      </c>
      <c r="K233">
        <v>0</v>
      </c>
      <c r="L233">
        <v>25.35</v>
      </c>
      <c r="M233">
        <f t="shared" si="6"/>
        <v>5.61</v>
      </c>
      <c r="N233">
        <f t="shared" si="7"/>
        <v>45.9</v>
      </c>
    </row>
    <row r="234" spans="1:14" x14ac:dyDescent="0.35">
      <c r="A234" t="s">
        <v>34</v>
      </c>
      <c r="B234" t="s">
        <v>29</v>
      </c>
      <c r="C234" t="s">
        <v>22</v>
      </c>
      <c r="D234" t="s">
        <v>17</v>
      </c>
      <c r="E234" t="s">
        <v>21</v>
      </c>
      <c r="F234">
        <v>59</v>
      </c>
      <c r="G234">
        <v>8.3699999999999992</v>
      </c>
      <c r="H234">
        <v>0.03</v>
      </c>
      <c r="I234">
        <v>0.89</v>
      </c>
      <c r="J234">
        <v>4.33</v>
      </c>
      <c r="K234">
        <v>1</v>
      </c>
      <c r="L234">
        <v>29.56</v>
      </c>
      <c r="M234">
        <f t="shared" si="6"/>
        <v>1.77</v>
      </c>
      <c r="N234">
        <f t="shared" si="7"/>
        <v>52.51</v>
      </c>
    </row>
    <row r="235" spans="1:14" x14ac:dyDescent="0.35">
      <c r="A235" t="s">
        <v>34</v>
      </c>
      <c r="B235" t="s">
        <v>29</v>
      </c>
      <c r="C235" t="s">
        <v>22</v>
      </c>
      <c r="D235" t="s">
        <v>18</v>
      </c>
      <c r="E235" t="s">
        <v>19</v>
      </c>
      <c r="F235">
        <v>71</v>
      </c>
      <c r="G235">
        <v>5.7</v>
      </c>
      <c r="H235">
        <v>7.0000000000000007E-2</v>
      </c>
      <c r="I235">
        <v>0.71</v>
      </c>
      <c r="J235">
        <v>4.4800000000000004</v>
      </c>
      <c r="K235">
        <v>0</v>
      </c>
      <c r="L235">
        <v>23.55</v>
      </c>
      <c r="M235">
        <f t="shared" si="6"/>
        <v>4.9700000000000006</v>
      </c>
      <c r="N235">
        <f t="shared" si="7"/>
        <v>50.41</v>
      </c>
    </row>
    <row r="236" spans="1:14" x14ac:dyDescent="0.35">
      <c r="A236" t="s">
        <v>34</v>
      </c>
      <c r="B236" t="s">
        <v>29</v>
      </c>
      <c r="C236" t="s">
        <v>23</v>
      </c>
      <c r="D236" t="s">
        <v>15</v>
      </c>
      <c r="E236" t="s">
        <v>16</v>
      </c>
      <c r="F236">
        <v>49</v>
      </c>
      <c r="G236">
        <v>5.16</v>
      </c>
      <c r="H236">
        <v>0.04</v>
      </c>
      <c r="I236">
        <v>0.9</v>
      </c>
      <c r="J236">
        <v>3.53</v>
      </c>
      <c r="K236">
        <v>1</v>
      </c>
      <c r="L236">
        <v>24.74</v>
      </c>
      <c r="M236">
        <f t="shared" si="6"/>
        <v>1.96</v>
      </c>
      <c r="N236">
        <f t="shared" si="7"/>
        <v>44.1</v>
      </c>
    </row>
    <row r="237" spans="1:14" x14ac:dyDescent="0.35">
      <c r="A237" t="s">
        <v>34</v>
      </c>
      <c r="B237" t="s">
        <v>29</v>
      </c>
      <c r="C237" t="s">
        <v>23</v>
      </c>
      <c r="D237" t="s">
        <v>17</v>
      </c>
      <c r="E237" t="s">
        <v>21</v>
      </c>
      <c r="F237">
        <v>30</v>
      </c>
      <c r="G237">
        <v>7</v>
      </c>
      <c r="H237">
        <v>0.13</v>
      </c>
      <c r="I237">
        <v>0.83</v>
      </c>
      <c r="J237">
        <v>4.3099999999999996</v>
      </c>
      <c r="K237">
        <v>0</v>
      </c>
      <c r="L237">
        <v>25.5</v>
      </c>
      <c r="M237">
        <f t="shared" si="6"/>
        <v>3.9000000000000004</v>
      </c>
      <c r="N237">
        <f t="shared" si="7"/>
        <v>24.9</v>
      </c>
    </row>
    <row r="238" spans="1:14" x14ac:dyDescent="0.35">
      <c r="A238" t="s">
        <v>34</v>
      </c>
      <c r="B238" t="s">
        <v>29</v>
      </c>
      <c r="C238" t="s">
        <v>23</v>
      </c>
      <c r="D238" t="s">
        <v>18</v>
      </c>
      <c r="E238" t="s">
        <v>21</v>
      </c>
      <c r="F238">
        <v>62</v>
      </c>
      <c r="G238">
        <v>7.66</v>
      </c>
      <c r="H238">
        <v>0.04</v>
      </c>
      <c r="I238">
        <v>0.62</v>
      </c>
      <c r="J238">
        <v>3.65</v>
      </c>
      <c r="K238">
        <v>0</v>
      </c>
      <c r="L238">
        <v>26.49</v>
      </c>
      <c r="M238">
        <f t="shared" si="6"/>
        <v>2.48</v>
      </c>
      <c r="N238">
        <f t="shared" si="7"/>
        <v>38.44</v>
      </c>
    </row>
    <row r="239" spans="1:14" x14ac:dyDescent="0.35">
      <c r="A239" t="s">
        <v>34</v>
      </c>
      <c r="B239" t="s">
        <v>29</v>
      </c>
      <c r="C239" t="s">
        <v>24</v>
      </c>
      <c r="D239" t="s">
        <v>15</v>
      </c>
      <c r="E239" t="s">
        <v>16</v>
      </c>
      <c r="F239">
        <v>70</v>
      </c>
      <c r="G239">
        <v>9.9700000000000006</v>
      </c>
      <c r="H239">
        <v>0.03</v>
      </c>
      <c r="I239">
        <v>0.89</v>
      </c>
      <c r="J239">
        <v>4.22</v>
      </c>
      <c r="K239">
        <v>0</v>
      </c>
      <c r="L239">
        <v>29.96</v>
      </c>
      <c r="M239">
        <f t="shared" si="6"/>
        <v>2.1</v>
      </c>
      <c r="N239">
        <f t="shared" si="7"/>
        <v>62.300000000000004</v>
      </c>
    </row>
    <row r="240" spans="1:14" x14ac:dyDescent="0.35">
      <c r="A240" t="s">
        <v>34</v>
      </c>
      <c r="B240" t="s">
        <v>29</v>
      </c>
      <c r="C240" t="s">
        <v>24</v>
      </c>
      <c r="D240" t="s">
        <v>17</v>
      </c>
      <c r="E240" t="s">
        <v>16</v>
      </c>
      <c r="F240">
        <v>52</v>
      </c>
      <c r="G240">
        <v>7.95</v>
      </c>
      <c r="H240">
        <v>0.09</v>
      </c>
      <c r="I240">
        <v>0.83</v>
      </c>
      <c r="J240">
        <v>4.01</v>
      </c>
      <c r="K240">
        <v>0</v>
      </c>
      <c r="L240">
        <v>26.92</v>
      </c>
      <c r="M240">
        <f t="shared" si="6"/>
        <v>4.68</v>
      </c>
      <c r="N240">
        <f t="shared" si="7"/>
        <v>43.16</v>
      </c>
    </row>
    <row r="241" spans="1:14" x14ac:dyDescent="0.35">
      <c r="A241" t="s">
        <v>34</v>
      </c>
      <c r="B241" t="s">
        <v>29</v>
      </c>
      <c r="C241" t="s">
        <v>24</v>
      </c>
      <c r="D241" t="s">
        <v>18</v>
      </c>
      <c r="E241" t="s">
        <v>16</v>
      </c>
      <c r="F241">
        <v>67</v>
      </c>
      <c r="G241">
        <v>6.97</v>
      </c>
      <c r="H241">
        <v>0.13</v>
      </c>
      <c r="I241">
        <v>0.7</v>
      </c>
      <c r="J241">
        <v>4.6399999999999997</v>
      </c>
      <c r="K241">
        <v>2</v>
      </c>
      <c r="L241">
        <v>29.46</v>
      </c>
      <c r="M241">
        <f t="shared" si="6"/>
        <v>8.7100000000000009</v>
      </c>
      <c r="N241">
        <f t="shared" si="7"/>
        <v>46.9</v>
      </c>
    </row>
    <row r="242" spans="1:14" x14ac:dyDescent="0.35">
      <c r="A242" t="s">
        <v>34</v>
      </c>
      <c r="B242" t="s">
        <v>30</v>
      </c>
      <c r="C242" t="s">
        <v>14</v>
      </c>
      <c r="D242" t="s">
        <v>15</v>
      </c>
      <c r="E242" t="s">
        <v>21</v>
      </c>
      <c r="F242">
        <v>45</v>
      </c>
      <c r="G242">
        <v>8.08</v>
      </c>
      <c r="H242">
        <v>0.06</v>
      </c>
      <c r="I242">
        <v>0.75</v>
      </c>
      <c r="J242">
        <v>3.7</v>
      </c>
      <c r="K242">
        <v>0</v>
      </c>
      <c r="L242">
        <v>27.12</v>
      </c>
      <c r="M242">
        <f t="shared" si="6"/>
        <v>2.6999999999999997</v>
      </c>
      <c r="N242">
        <f t="shared" si="7"/>
        <v>33.75</v>
      </c>
    </row>
    <row r="243" spans="1:14" x14ac:dyDescent="0.35">
      <c r="A243" t="s">
        <v>34</v>
      </c>
      <c r="B243" t="s">
        <v>30</v>
      </c>
      <c r="C243" t="s">
        <v>14</v>
      </c>
      <c r="D243" t="s">
        <v>17</v>
      </c>
      <c r="E243" t="s">
        <v>21</v>
      </c>
      <c r="F243">
        <v>47</v>
      </c>
      <c r="G243">
        <v>6.98</v>
      </c>
      <c r="H243">
        <v>0.1</v>
      </c>
      <c r="I243">
        <v>0.87</v>
      </c>
      <c r="J243">
        <v>3.67</v>
      </c>
      <c r="K243">
        <v>2</v>
      </c>
      <c r="L243">
        <v>29.47</v>
      </c>
      <c r="M243">
        <f t="shared" si="6"/>
        <v>4.7</v>
      </c>
      <c r="N243">
        <f t="shared" si="7"/>
        <v>40.89</v>
      </c>
    </row>
    <row r="244" spans="1:14" x14ac:dyDescent="0.35">
      <c r="A244" t="s">
        <v>34</v>
      </c>
      <c r="B244" t="s">
        <v>30</v>
      </c>
      <c r="C244" t="s">
        <v>14</v>
      </c>
      <c r="D244" t="s">
        <v>18</v>
      </c>
      <c r="E244" t="s">
        <v>21</v>
      </c>
      <c r="F244">
        <v>43</v>
      </c>
      <c r="G244">
        <v>6.98</v>
      </c>
      <c r="H244">
        <v>0.14000000000000001</v>
      </c>
      <c r="I244">
        <v>0.81</v>
      </c>
      <c r="J244">
        <v>4.37</v>
      </c>
      <c r="K244">
        <v>0</v>
      </c>
      <c r="L244">
        <v>25.47</v>
      </c>
      <c r="M244">
        <f t="shared" si="6"/>
        <v>6.0200000000000005</v>
      </c>
      <c r="N244">
        <f t="shared" si="7"/>
        <v>34.830000000000005</v>
      </c>
    </row>
    <row r="245" spans="1:14" x14ac:dyDescent="0.35">
      <c r="A245" t="s">
        <v>34</v>
      </c>
      <c r="B245" t="s">
        <v>30</v>
      </c>
      <c r="C245" t="s">
        <v>20</v>
      </c>
      <c r="D245" t="s">
        <v>15</v>
      </c>
      <c r="E245" t="s">
        <v>16</v>
      </c>
      <c r="F245">
        <v>33</v>
      </c>
      <c r="G245">
        <v>8.43</v>
      </c>
      <c r="H245">
        <v>0.04</v>
      </c>
      <c r="I245">
        <v>0.89</v>
      </c>
      <c r="J245">
        <v>4.21</v>
      </c>
      <c r="K245">
        <v>3</v>
      </c>
      <c r="L245">
        <v>33.64</v>
      </c>
      <c r="M245">
        <f t="shared" si="6"/>
        <v>1.32</v>
      </c>
      <c r="N245">
        <f t="shared" si="7"/>
        <v>29.37</v>
      </c>
    </row>
    <row r="246" spans="1:14" x14ac:dyDescent="0.35">
      <c r="A246" t="s">
        <v>34</v>
      </c>
      <c r="B246" t="s">
        <v>30</v>
      </c>
      <c r="C246" t="s">
        <v>20</v>
      </c>
      <c r="D246" t="s">
        <v>17</v>
      </c>
      <c r="E246" t="s">
        <v>16</v>
      </c>
      <c r="F246">
        <v>42</v>
      </c>
      <c r="G246">
        <v>8.23</v>
      </c>
      <c r="H246">
        <v>0.02</v>
      </c>
      <c r="I246">
        <v>0.75</v>
      </c>
      <c r="J246">
        <v>4.28</v>
      </c>
      <c r="K246">
        <v>0</v>
      </c>
      <c r="L246">
        <v>27.34</v>
      </c>
      <c r="M246">
        <f t="shared" si="6"/>
        <v>0.84</v>
      </c>
      <c r="N246">
        <f t="shared" si="7"/>
        <v>31.5</v>
      </c>
    </row>
    <row r="247" spans="1:14" x14ac:dyDescent="0.35">
      <c r="A247" t="s">
        <v>34</v>
      </c>
      <c r="B247" t="s">
        <v>30</v>
      </c>
      <c r="C247" t="s">
        <v>20</v>
      </c>
      <c r="D247" t="s">
        <v>18</v>
      </c>
      <c r="E247" t="s">
        <v>16</v>
      </c>
      <c r="F247">
        <v>34</v>
      </c>
      <c r="G247">
        <v>7.04</v>
      </c>
      <c r="H247">
        <v>0.12</v>
      </c>
      <c r="I247">
        <v>0.71</v>
      </c>
      <c r="J247">
        <v>3.58</v>
      </c>
      <c r="K247">
        <v>3</v>
      </c>
      <c r="L247">
        <v>31.56</v>
      </c>
      <c r="M247">
        <f t="shared" si="6"/>
        <v>4.08</v>
      </c>
      <c r="N247">
        <f t="shared" si="7"/>
        <v>24.14</v>
      </c>
    </row>
    <row r="248" spans="1:14" x14ac:dyDescent="0.35">
      <c r="A248" t="s">
        <v>34</v>
      </c>
      <c r="B248" t="s">
        <v>30</v>
      </c>
      <c r="C248" t="s">
        <v>22</v>
      </c>
      <c r="D248" t="s">
        <v>15</v>
      </c>
      <c r="E248" t="s">
        <v>19</v>
      </c>
      <c r="F248">
        <v>44</v>
      </c>
      <c r="G248">
        <v>6.89</v>
      </c>
      <c r="H248">
        <v>0.22</v>
      </c>
      <c r="I248">
        <v>0.76</v>
      </c>
      <c r="J248">
        <v>4.16</v>
      </c>
      <c r="K248">
        <v>3</v>
      </c>
      <c r="L248">
        <v>31.34</v>
      </c>
      <c r="M248">
        <f t="shared" si="6"/>
        <v>9.68</v>
      </c>
      <c r="N248">
        <f t="shared" si="7"/>
        <v>33.44</v>
      </c>
    </row>
    <row r="249" spans="1:14" x14ac:dyDescent="0.35">
      <c r="A249" t="s">
        <v>34</v>
      </c>
      <c r="B249" t="s">
        <v>30</v>
      </c>
      <c r="C249" t="s">
        <v>22</v>
      </c>
      <c r="D249" t="s">
        <v>17</v>
      </c>
      <c r="E249" t="s">
        <v>21</v>
      </c>
      <c r="F249">
        <v>68</v>
      </c>
      <c r="G249">
        <v>7.2</v>
      </c>
      <c r="H249">
        <v>0.05</v>
      </c>
      <c r="I249">
        <v>0.78</v>
      </c>
      <c r="J249">
        <v>4.3499999999999996</v>
      </c>
      <c r="K249">
        <v>2</v>
      </c>
      <c r="L249">
        <v>29.8</v>
      </c>
      <c r="M249">
        <f t="shared" si="6"/>
        <v>3.4000000000000004</v>
      </c>
      <c r="N249">
        <f t="shared" si="7"/>
        <v>53.04</v>
      </c>
    </row>
    <row r="250" spans="1:14" x14ac:dyDescent="0.35">
      <c r="A250" t="s">
        <v>34</v>
      </c>
      <c r="B250" t="s">
        <v>30</v>
      </c>
      <c r="C250" t="s">
        <v>22</v>
      </c>
      <c r="D250" t="s">
        <v>18</v>
      </c>
      <c r="E250" t="s">
        <v>21</v>
      </c>
      <c r="F250">
        <v>66</v>
      </c>
      <c r="G250">
        <v>7.37</v>
      </c>
      <c r="H250">
        <v>0.05</v>
      </c>
      <c r="I250">
        <v>0.69</v>
      </c>
      <c r="J250">
        <v>4.04</v>
      </c>
      <c r="K250">
        <v>2</v>
      </c>
      <c r="L250">
        <v>30.06</v>
      </c>
      <c r="M250">
        <f t="shared" si="6"/>
        <v>3.3000000000000003</v>
      </c>
      <c r="N250">
        <f t="shared" si="7"/>
        <v>45.54</v>
      </c>
    </row>
    <row r="251" spans="1:14" x14ac:dyDescent="0.35">
      <c r="A251" t="s">
        <v>34</v>
      </c>
      <c r="B251" t="s">
        <v>30</v>
      </c>
      <c r="C251" t="s">
        <v>23</v>
      </c>
      <c r="D251" t="s">
        <v>15</v>
      </c>
      <c r="E251" t="s">
        <v>21</v>
      </c>
      <c r="F251">
        <v>51</v>
      </c>
      <c r="G251">
        <v>8.49</v>
      </c>
      <c r="H251">
        <v>0.15</v>
      </c>
      <c r="I251">
        <v>0.79</v>
      </c>
      <c r="J251">
        <v>3.67</v>
      </c>
      <c r="K251">
        <v>0</v>
      </c>
      <c r="L251">
        <v>27.74</v>
      </c>
      <c r="M251">
        <f t="shared" si="6"/>
        <v>7.6499999999999995</v>
      </c>
      <c r="N251">
        <f t="shared" si="7"/>
        <v>40.29</v>
      </c>
    </row>
    <row r="252" spans="1:14" x14ac:dyDescent="0.35">
      <c r="A252" t="s">
        <v>34</v>
      </c>
      <c r="B252" t="s">
        <v>30</v>
      </c>
      <c r="C252" t="s">
        <v>23</v>
      </c>
      <c r="D252" t="s">
        <v>17</v>
      </c>
      <c r="E252" t="s">
        <v>21</v>
      </c>
      <c r="F252">
        <v>50</v>
      </c>
      <c r="G252">
        <v>6.95</v>
      </c>
      <c r="H252">
        <v>0.09</v>
      </c>
      <c r="I252">
        <v>0.78</v>
      </c>
      <c r="J252">
        <v>3.52</v>
      </c>
      <c r="K252">
        <v>0</v>
      </c>
      <c r="L252">
        <v>25.42</v>
      </c>
      <c r="M252">
        <f t="shared" si="6"/>
        <v>4.5</v>
      </c>
      <c r="N252">
        <f t="shared" si="7"/>
        <v>39</v>
      </c>
    </row>
    <row r="253" spans="1:14" x14ac:dyDescent="0.35">
      <c r="A253" t="s">
        <v>34</v>
      </c>
      <c r="B253" t="s">
        <v>30</v>
      </c>
      <c r="C253" t="s">
        <v>23</v>
      </c>
      <c r="D253" t="s">
        <v>18</v>
      </c>
      <c r="E253" t="s">
        <v>21</v>
      </c>
      <c r="F253">
        <v>47</v>
      </c>
      <c r="G253">
        <v>7.89</v>
      </c>
      <c r="H253">
        <v>0.03</v>
      </c>
      <c r="I253">
        <v>0.61</v>
      </c>
      <c r="J253">
        <v>3.98</v>
      </c>
      <c r="K253">
        <v>0</v>
      </c>
      <c r="L253">
        <v>26.84</v>
      </c>
      <c r="M253">
        <f t="shared" si="6"/>
        <v>1.41</v>
      </c>
      <c r="N253">
        <f t="shared" si="7"/>
        <v>28.669999999999998</v>
      </c>
    </row>
    <row r="254" spans="1:14" x14ac:dyDescent="0.35">
      <c r="A254" t="s">
        <v>34</v>
      </c>
      <c r="B254" t="s">
        <v>30</v>
      </c>
      <c r="C254" t="s">
        <v>24</v>
      </c>
      <c r="D254" t="s">
        <v>15</v>
      </c>
      <c r="E254" t="s">
        <v>16</v>
      </c>
      <c r="F254">
        <v>50</v>
      </c>
      <c r="G254">
        <v>6.31</v>
      </c>
      <c r="H254">
        <v>0.06</v>
      </c>
      <c r="I254">
        <v>0.86</v>
      </c>
      <c r="J254">
        <v>4.12</v>
      </c>
      <c r="K254">
        <v>0</v>
      </c>
      <c r="L254">
        <v>24.46</v>
      </c>
      <c r="M254">
        <f t="shared" si="6"/>
        <v>3</v>
      </c>
      <c r="N254">
        <f t="shared" si="7"/>
        <v>43</v>
      </c>
    </row>
    <row r="255" spans="1:14" x14ac:dyDescent="0.35">
      <c r="A255" t="s">
        <v>34</v>
      </c>
      <c r="B255" t="s">
        <v>30</v>
      </c>
      <c r="C255" t="s">
        <v>24</v>
      </c>
      <c r="D255" t="s">
        <v>17</v>
      </c>
      <c r="E255" t="s">
        <v>16</v>
      </c>
      <c r="F255">
        <v>67</v>
      </c>
      <c r="G255">
        <v>7.46</v>
      </c>
      <c r="H255">
        <v>7.0000000000000007E-2</v>
      </c>
      <c r="I255">
        <v>0.89</v>
      </c>
      <c r="J255">
        <v>3.67</v>
      </c>
      <c r="K255">
        <v>0</v>
      </c>
      <c r="L255">
        <v>26.19</v>
      </c>
      <c r="M255">
        <f t="shared" si="6"/>
        <v>4.6900000000000004</v>
      </c>
      <c r="N255">
        <f t="shared" si="7"/>
        <v>59.63</v>
      </c>
    </row>
    <row r="256" spans="1:14" x14ac:dyDescent="0.35">
      <c r="A256" t="s">
        <v>34</v>
      </c>
      <c r="B256" t="s">
        <v>30</v>
      </c>
      <c r="C256" t="s">
        <v>24</v>
      </c>
      <c r="D256" t="s">
        <v>18</v>
      </c>
      <c r="E256" t="s">
        <v>16</v>
      </c>
      <c r="F256">
        <v>70</v>
      </c>
      <c r="G256">
        <v>6.89</v>
      </c>
      <c r="H256">
        <v>0.05</v>
      </c>
      <c r="I256">
        <v>0.81</v>
      </c>
      <c r="J256">
        <v>3.55</v>
      </c>
      <c r="K256">
        <v>2</v>
      </c>
      <c r="L256">
        <v>29.34</v>
      </c>
      <c r="M256">
        <f t="shared" si="6"/>
        <v>3.5</v>
      </c>
      <c r="N256">
        <f t="shared" si="7"/>
        <v>56.7</v>
      </c>
    </row>
    <row r="257" spans="1:14" x14ac:dyDescent="0.35">
      <c r="A257" t="s">
        <v>34</v>
      </c>
      <c r="B257" t="s">
        <v>31</v>
      </c>
      <c r="C257" t="s">
        <v>14</v>
      </c>
      <c r="D257" t="s">
        <v>15</v>
      </c>
      <c r="E257" t="s">
        <v>16</v>
      </c>
      <c r="F257">
        <v>40</v>
      </c>
      <c r="G257">
        <v>9.33</v>
      </c>
      <c r="H257">
        <v>0.08</v>
      </c>
      <c r="I257">
        <v>0.81</v>
      </c>
      <c r="J257">
        <v>4.09</v>
      </c>
      <c r="K257">
        <v>0</v>
      </c>
      <c r="L257">
        <v>29</v>
      </c>
      <c r="M257">
        <f t="shared" si="6"/>
        <v>3.2</v>
      </c>
      <c r="N257">
        <f t="shared" si="7"/>
        <v>32.400000000000006</v>
      </c>
    </row>
    <row r="258" spans="1:14" x14ac:dyDescent="0.35">
      <c r="A258" t="s">
        <v>34</v>
      </c>
      <c r="B258" t="s">
        <v>31</v>
      </c>
      <c r="C258" t="s">
        <v>14</v>
      </c>
      <c r="D258" t="s">
        <v>17</v>
      </c>
      <c r="E258" t="s">
        <v>21</v>
      </c>
      <c r="F258">
        <v>52</v>
      </c>
      <c r="G258">
        <v>6.31</v>
      </c>
      <c r="H258">
        <v>0.12</v>
      </c>
      <c r="I258">
        <v>0.83</v>
      </c>
      <c r="J258">
        <v>4.38</v>
      </c>
      <c r="K258">
        <v>0</v>
      </c>
      <c r="L258">
        <v>24.46</v>
      </c>
      <c r="M258">
        <f t="shared" si="6"/>
        <v>6.24</v>
      </c>
      <c r="N258">
        <f t="shared" si="7"/>
        <v>43.16</v>
      </c>
    </row>
    <row r="259" spans="1:14" x14ac:dyDescent="0.35">
      <c r="A259" t="s">
        <v>34</v>
      </c>
      <c r="B259" t="s">
        <v>31</v>
      </c>
      <c r="C259" t="s">
        <v>14</v>
      </c>
      <c r="D259" t="s">
        <v>18</v>
      </c>
      <c r="E259" t="s">
        <v>19</v>
      </c>
      <c r="F259">
        <v>72</v>
      </c>
      <c r="G259">
        <v>7.56</v>
      </c>
      <c r="H259">
        <v>0.21</v>
      </c>
      <c r="I259">
        <v>0.8</v>
      </c>
      <c r="J259">
        <v>3.64</v>
      </c>
      <c r="K259">
        <v>0</v>
      </c>
      <c r="L259">
        <v>26.34</v>
      </c>
      <c r="M259">
        <f t="shared" ref="M259:M322" si="8">SUM(F259*H259)</f>
        <v>15.12</v>
      </c>
      <c r="N259">
        <f t="shared" ref="N259:N322" si="9">SUM(I259*F259)</f>
        <v>57.6</v>
      </c>
    </row>
    <row r="260" spans="1:14" x14ac:dyDescent="0.35">
      <c r="A260" t="s">
        <v>34</v>
      </c>
      <c r="B260" t="s">
        <v>31</v>
      </c>
      <c r="C260" t="s">
        <v>20</v>
      </c>
      <c r="D260" t="s">
        <v>15</v>
      </c>
      <c r="E260" t="s">
        <v>16</v>
      </c>
      <c r="F260">
        <v>69</v>
      </c>
      <c r="G260">
        <v>6.15</v>
      </c>
      <c r="H260">
        <v>7.0000000000000007E-2</v>
      </c>
      <c r="I260">
        <v>0.87</v>
      </c>
      <c r="J260">
        <v>4.3600000000000003</v>
      </c>
      <c r="K260">
        <v>0</v>
      </c>
      <c r="L260">
        <v>24.22</v>
      </c>
      <c r="M260">
        <f t="shared" si="8"/>
        <v>4.83</v>
      </c>
      <c r="N260">
        <f t="shared" si="9"/>
        <v>60.03</v>
      </c>
    </row>
    <row r="261" spans="1:14" x14ac:dyDescent="0.35">
      <c r="A261" t="s">
        <v>34</v>
      </c>
      <c r="B261" t="s">
        <v>31</v>
      </c>
      <c r="C261" t="s">
        <v>20</v>
      </c>
      <c r="D261" t="s">
        <v>17</v>
      </c>
      <c r="E261" t="s">
        <v>19</v>
      </c>
      <c r="F261">
        <v>34</v>
      </c>
      <c r="G261">
        <v>6.53</v>
      </c>
      <c r="H261">
        <v>0.19</v>
      </c>
      <c r="I261">
        <v>0.87</v>
      </c>
      <c r="J261">
        <v>3.59</v>
      </c>
      <c r="K261">
        <v>0</v>
      </c>
      <c r="L261">
        <v>24.8</v>
      </c>
      <c r="M261">
        <f t="shared" si="8"/>
        <v>6.46</v>
      </c>
      <c r="N261">
        <f t="shared" si="9"/>
        <v>29.58</v>
      </c>
    </row>
    <row r="262" spans="1:14" x14ac:dyDescent="0.35">
      <c r="A262" t="s">
        <v>34</v>
      </c>
      <c r="B262" t="s">
        <v>31</v>
      </c>
      <c r="C262" t="s">
        <v>20</v>
      </c>
      <c r="D262" t="s">
        <v>18</v>
      </c>
      <c r="E262" t="s">
        <v>19</v>
      </c>
      <c r="F262">
        <v>77</v>
      </c>
      <c r="G262">
        <v>8.11</v>
      </c>
      <c r="H262">
        <v>0.15</v>
      </c>
      <c r="I262">
        <v>0.65</v>
      </c>
      <c r="J262">
        <v>3.66</v>
      </c>
      <c r="K262">
        <v>1</v>
      </c>
      <c r="L262">
        <v>29.16</v>
      </c>
      <c r="M262">
        <f t="shared" si="8"/>
        <v>11.549999999999999</v>
      </c>
      <c r="N262">
        <f t="shared" si="9"/>
        <v>50.050000000000004</v>
      </c>
    </row>
    <row r="263" spans="1:14" x14ac:dyDescent="0.35">
      <c r="A263" t="s">
        <v>34</v>
      </c>
      <c r="B263" t="s">
        <v>31</v>
      </c>
      <c r="C263" t="s">
        <v>22</v>
      </c>
      <c r="D263" t="s">
        <v>15</v>
      </c>
      <c r="E263" t="s">
        <v>21</v>
      </c>
      <c r="F263">
        <v>70</v>
      </c>
      <c r="G263">
        <v>8.81</v>
      </c>
      <c r="H263">
        <v>0.14000000000000001</v>
      </c>
      <c r="I263">
        <v>0.82</v>
      </c>
      <c r="J263">
        <v>4.66</v>
      </c>
      <c r="K263">
        <v>0</v>
      </c>
      <c r="L263">
        <v>28.22</v>
      </c>
      <c r="M263">
        <f t="shared" si="8"/>
        <v>9.8000000000000007</v>
      </c>
      <c r="N263">
        <f t="shared" si="9"/>
        <v>57.4</v>
      </c>
    </row>
    <row r="264" spans="1:14" x14ac:dyDescent="0.35">
      <c r="A264" t="s">
        <v>34</v>
      </c>
      <c r="B264" t="s">
        <v>31</v>
      </c>
      <c r="C264" t="s">
        <v>22</v>
      </c>
      <c r="D264" t="s">
        <v>17</v>
      </c>
      <c r="E264" t="s">
        <v>19</v>
      </c>
      <c r="F264">
        <v>56</v>
      </c>
      <c r="G264">
        <v>7.56</v>
      </c>
      <c r="H264">
        <v>0.2</v>
      </c>
      <c r="I264">
        <v>0.86</v>
      </c>
      <c r="J264">
        <v>4.5599999999999996</v>
      </c>
      <c r="K264">
        <v>1</v>
      </c>
      <c r="L264">
        <v>28.34</v>
      </c>
      <c r="M264">
        <f t="shared" si="8"/>
        <v>11.200000000000001</v>
      </c>
      <c r="N264">
        <f t="shared" si="9"/>
        <v>48.16</v>
      </c>
    </row>
    <row r="265" spans="1:14" x14ac:dyDescent="0.35">
      <c r="A265" t="s">
        <v>34</v>
      </c>
      <c r="B265" t="s">
        <v>31</v>
      </c>
      <c r="C265" t="s">
        <v>22</v>
      </c>
      <c r="D265" t="s">
        <v>18</v>
      </c>
      <c r="E265" t="s">
        <v>19</v>
      </c>
      <c r="F265">
        <v>44</v>
      </c>
      <c r="G265">
        <v>7.77</v>
      </c>
      <c r="H265">
        <v>0.08</v>
      </c>
      <c r="I265">
        <v>0.75</v>
      </c>
      <c r="J265">
        <v>3.62</v>
      </c>
      <c r="K265">
        <v>0</v>
      </c>
      <c r="L265">
        <v>26.66</v>
      </c>
      <c r="M265">
        <f t="shared" si="8"/>
        <v>3.52</v>
      </c>
      <c r="N265">
        <f t="shared" si="9"/>
        <v>33</v>
      </c>
    </row>
    <row r="266" spans="1:14" x14ac:dyDescent="0.35">
      <c r="A266" t="s">
        <v>34</v>
      </c>
      <c r="B266" t="s">
        <v>31</v>
      </c>
      <c r="C266" t="s">
        <v>23</v>
      </c>
      <c r="D266" t="s">
        <v>15</v>
      </c>
      <c r="E266" t="s">
        <v>16</v>
      </c>
      <c r="F266">
        <v>54</v>
      </c>
      <c r="G266">
        <v>6.99</v>
      </c>
      <c r="H266">
        <v>0.14000000000000001</v>
      </c>
      <c r="I266">
        <v>0.85</v>
      </c>
      <c r="J266">
        <v>4.1399999999999997</v>
      </c>
      <c r="K266">
        <v>0</v>
      </c>
      <c r="L266">
        <v>25.48</v>
      </c>
      <c r="M266">
        <f t="shared" si="8"/>
        <v>7.5600000000000005</v>
      </c>
      <c r="N266">
        <f t="shared" si="9"/>
        <v>45.9</v>
      </c>
    </row>
    <row r="267" spans="1:14" x14ac:dyDescent="0.35">
      <c r="A267" t="s">
        <v>34</v>
      </c>
      <c r="B267" t="s">
        <v>31</v>
      </c>
      <c r="C267" t="s">
        <v>23</v>
      </c>
      <c r="D267" t="s">
        <v>17</v>
      </c>
      <c r="E267" t="s">
        <v>21</v>
      </c>
      <c r="F267">
        <v>61</v>
      </c>
      <c r="G267">
        <v>6.74</v>
      </c>
      <c r="H267">
        <v>0.06</v>
      </c>
      <c r="I267">
        <v>0.88</v>
      </c>
      <c r="J267">
        <v>3.84</v>
      </c>
      <c r="K267">
        <v>0</v>
      </c>
      <c r="L267">
        <v>25.11</v>
      </c>
      <c r="M267">
        <f t="shared" si="8"/>
        <v>3.6599999999999997</v>
      </c>
      <c r="N267">
        <f t="shared" si="9"/>
        <v>53.68</v>
      </c>
    </row>
    <row r="268" spans="1:14" x14ac:dyDescent="0.35">
      <c r="A268" t="s">
        <v>34</v>
      </c>
      <c r="B268" t="s">
        <v>31</v>
      </c>
      <c r="C268" t="s">
        <v>23</v>
      </c>
      <c r="D268" t="s">
        <v>18</v>
      </c>
      <c r="E268" t="s">
        <v>16</v>
      </c>
      <c r="F268">
        <v>50</v>
      </c>
      <c r="G268">
        <v>6.21</v>
      </c>
      <c r="H268">
        <v>0.03</v>
      </c>
      <c r="I268">
        <v>0.68</v>
      </c>
      <c r="J268">
        <v>4.4800000000000004</v>
      </c>
      <c r="K268">
        <v>0</v>
      </c>
      <c r="L268">
        <v>24.32</v>
      </c>
      <c r="M268">
        <f t="shared" si="8"/>
        <v>1.5</v>
      </c>
      <c r="N268">
        <f t="shared" si="9"/>
        <v>34</v>
      </c>
    </row>
    <row r="269" spans="1:14" x14ac:dyDescent="0.35">
      <c r="A269" t="s">
        <v>34</v>
      </c>
      <c r="B269" t="s">
        <v>31</v>
      </c>
      <c r="C269" t="s">
        <v>24</v>
      </c>
      <c r="D269" t="s">
        <v>15</v>
      </c>
      <c r="E269" t="s">
        <v>16</v>
      </c>
      <c r="F269">
        <v>42</v>
      </c>
      <c r="G269">
        <v>7.73</v>
      </c>
      <c r="H269">
        <v>0.04</v>
      </c>
      <c r="I269">
        <v>0.77</v>
      </c>
      <c r="J269">
        <v>4.4400000000000004</v>
      </c>
      <c r="K269">
        <v>2</v>
      </c>
      <c r="L269">
        <v>30.6</v>
      </c>
      <c r="M269">
        <f t="shared" si="8"/>
        <v>1.68</v>
      </c>
      <c r="N269">
        <f t="shared" si="9"/>
        <v>32.340000000000003</v>
      </c>
    </row>
    <row r="270" spans="1:14" x14ac:dyDescent="0.35">
      <c r="A270" t="s">
        <v>34</v>
      </c>
      <c r="B270" t="s">
        <v>31</v>
      </c>
      <c r="C270" t="s">
        <v>24</v>
      </c>
      <c r="D270" t="s">
        <v>17</v>
      </c>
      <c r="E270" t="s">
        <v>19</v>
      </c>
      <c r="F270">
        <v>52</v>
      </c>
      <c r="G270">
        <v>7.99</v>
      </c>
      <c r="H270">
        <v>0.19</v>
      </c>
      <c r="I270">
        <v>0.84</v>
      </c>
      <c r="J270">
        <v>4.16</v>
      </c>
      <c r="K270">
        <v>0</v>
      </c>
      <c r="L270">
        <v>26.98</v>
      </c>
      <c r="M270">
        <f t="shared" si="8"/>
        <v>9.8800000000000008</v>
      </c>
      <c r="N270">
        <f t="shared" si="9"/>
        <v>43.68</v>
      </c>
    </row>
    <row r="271" spans="1:14" x14ac:dyDescent="0.35">
      <c r="A271" t="s">
        <v>34</v>
      </c>
      <c r="B271" t="s">
        <v>31</v>
      </c>
      <c r="C271" t="s">
        <v>24</v>
      </c>
      <c r="D271" t="s">
        <v>18</v>
      </c>
      <c r="E271" t="s">
        <v>16</v>
      </c>
      <c r="F271">
        <v>58</v>
      </c>
      <c r="G271">
        <v>8.2200000000000006</v>
      </c>
      <c r="H271">
        <v>0.03</v>
      </c>
      <c r="I271">
        <v>0.74</v>
      </c>
      <c r="J271">
        <v>4.6399999999999997</v>
      </c>
      <c r="K271">
        <v>0</v>
      </c>
      <c r="L271">
        <v>27.33</v>
      </c>
      <c r="M271">
        <f t="shared" si="8"/>
        <v>1.74</v>
      </c>
      <c r="N271">
        <f t="shared" si="9"/>
        <v>42.92</v>
      </c>
    </row>
    <row r="272" spans="1:14" x14ac:dyDescent="0.35">
      <c r="A272" t="s">
        <v>34</v>
      </c>
      <c r="B272" t="s">
        <v>32</v>
      </c>
      <c r="C272" t="s">
        <v>14</v>
      </c>
      <c r="D272" t="s">
        <v>15</v>
      </c>
      <c r="E272" t="s">
        <v>19</v>
      </c>
      <c r="F272">
        <v>45</v>
      </c>
      <c r="G272">
        <v>8.1</v>
      </c>
      <c r="H272">
        <v>0.27</v>
      </c>
      <c r="I272">
        <v>0.79</v>
      </c>
      <c r="J272">
        <v>3.75</v>
      </c>
      <c r="K272">
        <v>2</v>
      </c>
      <c r="L272">
        <v>31.15</v>
      </c>
      <c r="M272">
        <f t="shared" si="8"/>
        <v>12.15</v>
      </c>
      <c r="N272">
        <f t="shared" si="9"/>
        <v>35.550000000000004</v>
      </c>
    </row>
    <row r="273" spans="1:14" x14ac:dyDescent="0.35">
      <c r="A273" t="s">
        <v>34</v>
      </c>
      <c r="B273" t="s">
        <v>32</v>
      </c>
      <c r="C273" t="s">
        <v>14</v>
      </c>
      <c r="D273" t="s">
        <v>17</v>
      </c>
      <c r="E273" t="s">
        <v>16</v>
      </c>
      <c r="F273">
        <v>54</v>
      </c>
      <c r="G273">
        <v>8.27</v>
      </c>
      <c r="H273">
        <v>0.09</v>
      </c>
      <c r="I273">
        <v>0.86</v>
      </c>
      <c r="J273">
        <v>4.3</v>
      </c>
      <c r="K273">
        <v>0</v>
      </c>
      <c r="L273">
        <v>27.4</v>
      </c>
      <c r="M273">
        <f t="shared" si="8"/>
        <v>4.8599999999999994</v>
      </c>
      <c r="N273">
        <f t="shared" si="9"/>
        <v>46.44</v>
      </c>
    </row>
    <row r="274" spans="1:14" x14ac:dyDescent="0.35">
      <c r="A274" t="s">
        <v>34</v>
      </c>
      <c r="B274" t="s">
        <v>32</v>
      </c>
      <c r="C274" t="s">
        <v>14</v>
      </c>
      <c r="D274" t="s">
        <v>18</v>
      </c>
      <c r="E274" t="s">
        <v>16</v>
      </c>
      <c r="F274">
        <v>42</v>
      </c>
      <c r="G274">
        <v>9.14</v>
      </c>
      <c r="H274">
        <v>0.13</v>
      </c>
      <c r="I274">
        <v>0.81</v>
      </c>
      <c r="J274">
        <v>4.58</v>
      </c>
      <c r="K274">
        <v>0</v>
      </c>
      <c r="L274">
        <v>28.71</v>
      </c>
      <c r="M274">
        <f t="shared" si="8"/>
        <v>5.46</v>
      </c>
      <c r="N274">
        <f t="shared" si="9"/>
        <v>34.020000000000003</v>
      </c>
    </row>
    <row r="275" spans="1:14" x14ac:dyDescent="0.35">
      <c r="A275" t="s">
        <v>34</v>
      </c>
      <c r="B275" t="s">
        <v>32</v>
      </c>
      <c r="C275" t="s">
        <v>20</v>
      </c>
      <c r="D275" t="s">
        <v>15</v>
      </c>
      <c r="E275" t="s">
        <v>21</v>
      </c>
      <c r="F275">
        <v>49</v>
      </c>
      <c r="G275">
        <v>10.130000000000001</v>
      </c>
      <c r="H275">
        <v>0.06</v>
      </c>
      <c r="I275">
        <v>0.77</v>
      </c>
      <c r="J275">
        <v>3.9</v>
      </c>
      <c r="K275">
        <v>2</v>
      </c>
      <c r="L275">
        <v>34.200000000000003</v>
      </c>
      <c r="M275">
        <f t="shared" si="8"/>
        <v>2.94</v>
      </c>
      <c r="N275">
        <f t="shared" si="9"/>
        <v>37.730000000000004</v>
      </c>
    </row>
    <row r="276" spans="1:14" x14ac:dyDescent="0.35">
      <c r="A276" t="s">
        <v>34</v>
      </c>
      <c r="B276" t="s">
        <v>32</v>
      </c>
      <c r="C276" t="s">
        <v>20</v>
      </c>
      <c r="D276" t="s">
        <v>17</v>
      </c>
      <c r="E276" t="s">
        <v>21</v>
      </c>
      <c r="F276">
        <v>33</v>
      </c>
      <c r="G276">
        <v>9.06</v>
      </c>
      <c r="H276">
        <v>0.12</v>
      </c>
      <c r="I276">
        <v>0.78</v>
      </c>
      <c r="J276">
        <v>3.68</v>
      </c>
      <c r="K276">
        <v>1</v>
      </c>
      <c r="L276">
        <v>30.59</v>
      </c>
      <c r="M276">
        <f t="shared" si="8"/>
        <v>3.96</v>
      </c>
      <c r="N276">
        <f t="shared" si="9"/>
        <v>25.740000000000002</v>
      </c>
    </row>
    <row r="277" spans="1:14" x14ac:dyDescent="0.35">
      <c r="A277" t="s">
        <v>34</v>
      </c>
      <c r="B277" t="s">
        <v>32</v>
      </c>
      <c r="C277" t="s">
        <v>20</v>
      </c>
      <c r="D277" t="s">
        <v>18</v>
      </c>
      <c r="E277" t="s">
        <v>19</v>
      </c>
      <c r="F277">
        <v>68</v>
      </c>
      <c r="G277">
        <v>6.25</v>
      </c>
      <c r="H277">
        <v>0.05</v>
      </c>
      <c r="I277">
        <v>0.75</v>
      </c>
      <c r="J277">
        <v>3.96</v>
      </c>
      <c r="K277">
        <v>1</v>
      </c>
      <c r="L277">
        <v>26.38</v>
      </c>
      <c r="M277">
        <f t="shared" si="8"/>
        <v>3.4000000000000004</v>
      </c>
      <c r="N277">
        <f t="shared" si="9"/>
        <v>51</v>
      </c>
    </row>
    <row r="278" spans="1:14" x14ac:dyDescent="0.35">
      <c r="A278" t="s">
        <v>34</v>
      </c>
      <c r="B278" t="s">
        <v>32</v>
      </c>
      <c r="C278" t="s">
        <v>22</v>
      </c>
      <c r="D278" t="s">
        <v>15</v>
      </c>
      <c r="E278" t="s">
        <v>19</v>
      </c>
      <c r="F278">
        <v>36</v>
      </c>
      <c r="G278">
        <v>9.7100000000000009</v>
      </c>
      <c r="H278">
        <v>7.0000000000000007E-2</v>
      </c>
      <c r="I278">
        <v>0.84</v>
      </c>
      <c r="J278">
        <v>4.2300000000000004</v>
      </c>
      <c r="K278">
        <v>0</v>
      </c>
      <c r="L278">
        <v>29.56</v>
      </c>
      <c r="M278">
        <f t="shared" si="8"/>
        <v>2.5200000000000005</v>
      </c>
      <c r="N278">
        <f t="shared" si="9"/>
        <v>30.24</v>
      </c>
    </row>
    <row r="279" spans="1:14" x14ac:dyDescent="0.35">
      <c r="A279" t="s">
        <v>34</v>
      </c>
      <c r="B279" t="s">
        <v>32</v>
      </c>
      <c r="C279" t="s">
        <v>22</v>
      </c>
      <c r="D279" t="s">
        <v>17</v>
      </c>
      <c r="E279" t="s">
        <v>16</v>
      </c>
      <c r="F279">
        <v>63</v>
      </c>
      <c r="G279">
        <v>7.2</v>
      </c>
      <c r="H279">
        <v>0.1</v>
      </c>
      <c r="I279">
        <v>0.84</v>
      </c>
      <c r="J279">
        <v>3.53</v>
      </c>
      <c r="K279">
        <v>0</v>
      </c>
      <c r="L279">
        <v>25.8</v>
      </c>
      <c r="M279">
        <f t="shared" si="8"/>
        <v>6.3000000000000007</v>
      </c>
      <c r="N279">
        <f t="shared" si="9"/>
        <v>52.919999999999995</v>
      </c>
    </row>
    <row r="280" spans="1:14" x14ac:dyDescent="0.35">
      <c r="A280" t="s">
        <v>34</v>
      </c>
      <c r="B280" t="s">
        <v>32</v>
      </c>
      <c r="C280" t="s">
        <v>22</v>
      </c>
      <c r="D280" t="s">
        <v>18</v>
      </c>
      <c r="E280" t="s">
        <v>16</v>
      </c>
      <c r="F280">
        <v>48</v>
      </c>
      <c r="G280">
        <v>7.33</v>
      </c>
      <c r="H280">
        <v>0.12</v>
      </c>
      <c r="I280">
        <v>0.78</v>
      </c>
      <c r="J280">
        <v>4.53</v>
      </c>
      <c r="K280">
        <v>0</v>
      </c>
      <c r="L280">
        <v>26</v>
      </c>
      <c r="M280">
        <f t="shared" si="8"/>
        <v>5.76</v>
      </c>
      <c r="N280">
        <f t="shared" si="9"/>
        <v>37.44</v>
      </c>
    </row>
    <row r="281" spans="1:14" x14ac:dyDescent="0.35">
      <c r="A281" t="s">
        <v>34</v>
      </c>
      <c r="B281" t="s">
        <v>32</v>
      </c>
      <c r="C281" t="s">
        <v>23</v>
      </c>
      <c r="D281" t="s">
        <v>15</v>
      </c>
      <c r="E281" t="s">
        <v>16</v>
      </c>
      <c r="F281">
        <v>65</v>
      </c>
      <c r="G281">
        <v>7.05</v>
      </c>
      <c r="H281">
        <v>0.04</v>
      </c>
      <c r="I281">
        <v>0.86</v>
      </c>
      <c r="J281">
        <v>3.81</v>
      </c>
      <c r="K281">
        <v>0</v>
      </c>
      <c r="L281">
        <v>25.58</v>
      </c>
      <c r="M281">
        <f t="shared" si="8"/>
        <v>2.6</v>
      </c>
      <c r="N281">
        <f t="shared" si="9"/>
        <v>55.9</v>
      </c>
    </row>
    <row r="282" spans="1:14" x14ac:dyDescent="0.35">
      <c r="A282" t="s">
        <v>34</v>
      </c>
      <c r="B282" t="s">
        <v>32</v>
      </c>
      <c r="C282" t="s">
        <v>23</v>
      </c>
      <c r="D282" t="s">
        <v>17</v>
      </c>
      <c r="E282" t="s">
        <v>19</v>
      </c>
      <c r="F282">
        <v>57</v>
      </c>
      <c r="G282">
        <v>7.69</v>
      </c>
      <c r="H282">
        <v>0.16</v>
      </c>
      <c r="I282">
        <v>0.85</v>
      </c>
      <c r="J282">
        <v>4.5199999999999996</v>
      </c>
      <c r="K282">
        <v>0</v>
      </c>
      <c r="L282">
        <v>26.54</v>
      </c>
      <c r="M282">
        <f t="shared" si="8"/>
        <v>9.120000000000001</v>
      </c>
      <c r="N282">
        <f t="shared" si="9"/>
        <v>48.449999999999996</v>
      </c>
    </row>
    <row r="283" spans="1:14" x14ac:dyDescent="0.35">
      <c r="A283" t="s">
        <v>34</v>
      </c>
      <c r="B283" t="s">
        <v>32</v>
      </c>
      <c r="C283" t="s">
        <v>23</v>
      </c>
      <c r="D283" t="s">
        <v>18</v>
      </c>
      <c r="E283" t="s">
        <v>16</v>
      </c>
      <c r="F283">
        <v>43</v>
      </c>
      <c r="G283">
        <v>8.08</v>
      </c>
      <c r="H283">
        <v>0.12</v>
      </c>
      <c r="I283">
        <v>0.78</v>
      </c>
      <c r="J283">
        <v>4.74</v>
      </c>
      <c r="K283">
        <v>0</v>
      </c>
      <c r="L283">
        <v>27.12</v>
      </c>
      <c r="M283">
        <f t="shared" si="8"/>
        <v>5.16</v>
      </c>
      <c r="N283">
        <f t="shared" si="9"/>
        <v>33.54</v>
      </c>
    </row>
    <row r="284" spans="1:14" x14ac:dyDescent="0.35">
      <c r="A284" t="s">
        <v>34</v>
      </c>
      <c r="B284" t="s">
        <v>32</v>
      </c>
      <c r="C284" t="s">
        <v>24</v>
      </c>
      <c r="D284" t="s">
        <v>15</v>
      </c>
      <c r="E284" t="s">
        <v>16</v>
      </c>
      <c r="F284">
        <v>39</v>
      </c>
      <c r="G284">
        <v>7.64</v>
      </c>
      <c r="H284">
        <v>0.06</v>
      </c>
      <c r="I284">
        <v>0.89</v>
      </c>
      <c r="J284">
        <v>3.84</v>
      </c>
      <c r="K284">
        <v>0</v>
      </c>
      <c r="L284">
        <v>26.46</v>
      </c>
      <c r="M284">
        <f t="shared" si="8"/>
        <v>2.34</v>
      </c>
      <c r="N284">
        <f t="shared" si="9"/>
        <v>34.71</v>
      </c>
    </row>
    <row r="285" spans="1:14" x14ac:dyDescent="0.35">
      <c r="A285" t="s">
        <v>34</v>
      </c>
      <c r="B285" t="s">
        <v>32</v>
      </c>
      <c r="C285" t="s">
        <v>24</v>
      </c>
      <c r="D285" t="s">
        <v>17</v>
      </c>
      <c r="E285" t="s">
        <v>21</v>
      </c>
      <c r="F285">
        <v>58</v>
      </c>
      <c r="G285">
        <v>5.73</v>
      </c>
      <c r="H285">
        <v>0.08</v>
      </c>
      <c r="I285">
        <v>0.82</v>
      </c>
      <c r="J285">
        <v>4.07</v>
      </c>
      <c r="K285">
        <v>2</v>
      </c>
      <c r="L285">
        <v>27.6</v>
      </c>
      <c r="M285">
        <f t="shared" si="8"/>
        <v>4.6399999999999997</v>
      </c>
      <c r="N285">
        <f t="shared" si="9"/>
        <v>47.559999999999995</v>
      </c>
    </row>
    <row r="286" spans="1:14" x14ac:dyDescent="0.35">
      <c r="A286" t="s">
        <v>34</v>
      </c>
      <c r="B286" t="s">
        <v>32</v>
      </c>
      <c r="C286" t="s">
        <v>24</v>
      </c>
      <c r="D286" t="s">
        <v>18</v>
      </c>
      <c r="E286" t="s">
        <v>21</v>
      </c>
      <c r="F286">
        <v>55</v>
      </c>
      <c r="G286">
        <v>7.71</v>
      </c>
      <c r="H286">
        <v>0.08</v>
      </c>
      <c r="I286">
        <v>0.71</v>
      </c>
      <c r="J286">
        <v>4.45</v>
      </c>
      <c r="K286">
        <v>1</v>
      </c>
      <c r="L286">
        <v>28.56</v>
      </c>
      <c r="M286">
        <f t="shared" si="8"/>
        <v>4.4000000000000004</v>
      </c>
      <c r="N286">
        <f t="shared" si="9"/>
        <v>39.049999999999997</v>
      </c>
    </row>
    <row r="287" spans="1:14" x14ac:dyDescent="0.35">
      <c r="A287" t="s">
        <v>34</v>
      </c>
      <c r="B287" t="s">
        <v>33</v>
      </c>
      <c r="C287" t="s">
        <v>14</v>
      </c>
      <c r="D287" t="s">
        <v>15</v>
      </c>
      <c r="E287" t="s">
        <v>19</v>
      </c>
      <c r="F287">
        <v>73</v>
      </c>
      <c r="G287">
        <v>7.12</v>
      </c>
      <c r="H287">
        <v>0.08</v>
      </c>
      <c r="I287">
        <v>0.86</v>
      </c>
      <c r="J287">
        <v>4.3499999999999996</v>
      </c>
      <c r="K287">
        <v>3</v>
      </c>
      <c r="L287">
        <v>31.68</v>
      </c>
      <c r="M287">
        <f t="shared" si="8"/>
        <v>5.84</v>
      </c>
      <c r="N287">
        <f t="shared" si="9"/>
        <v>62.78</v>
      </c>
    </row>
    <row r="288" spans="1:14" x14ac:dyDescent="0.35">
      <c r="A288" t="s">
        <v>34</v>
      </c>
      <c r="B288" t="s">
        <v>33</v>
      </c>
      <c r="C288" t="s">
        <v>14</v>
      </c>
      <c r="D288" t="s">
        <v>17</v>
      </c>
      <c r="E288" t="s">
        <v>19</v>
      </c>
      <c r="F288">
        <v>73</v>
      </c>
      <c r="G288">
        <v>6.55</v>
      </c>
      <c r="H288">
        <v>0.25</v>
      </c>
      <c r="I288">
        <v>0.9</v>
      </c>
      <c r="J288">
        <v>3.98</v>
      </c>
      <c r="K288">
        <v>0</v>
      </c>
      <c r="L288">
        <v>24.82</v>
      </c>
      <c r="M288">
        <f t="shared" si="8"/>
        <v>18.25</v>
      </c>
      <c r="N288">
        <f t="shared" si="9"/>
        <v>65.7</v>
      </c>
    </row>
    <row r="289" spans="1:14" x14ac:dyDescent="0.35">
      <c r="A289" t="s">
        <v>34</v>
      </c>
      <c r="B289" t="s">
        <v>33</v>
      </c>
      <c r="C289" t="s">
        <v>14</v>
      </c>
      <c r="D289" t="s">
        <v>18</v>
      </c>
      <c r="E289" t="s">
        <v>21</v>
      </c>
      <c r="F289">
        <v>35</v>
      </c>
      <c r="G289">
        <v>6.55</v>
      </c>
      <c r="H289">
        <v>0.03</v>
      </c>
      <c r="I289">
        <v>0.72</v>
      </c>
      <c r="J289">
        <v>3.54</v>
      </c>
      <c r="K289">
        <v>0</v>
      </c>
      <c r="L289">
        <v>24.82</v>
      </c>
      <c r="M289">
        <f t="shared" si="8"/>
        <v>1.05</v>
      </c>
      <c r="N289">
        <f t="shared" si="9"/>
        <v>25.2</v>
      </c>
    </row>
    <row r="290" spans="1:14" x14ac:dyDescent="0.35">
      <c r="A290" t="s">
        <v>34</v>
      </c>
      <c r="B290" t="s">
        <v>33</v>
      </c>
      <c r="C290" t="s">
        <v>20</v>
      </c>
      <c r="D290" t="s">
        <v>15</v>
      </c>
      <c r="E290" t="s">
        <v>21</v>
      </c>
      <c r="F290">
        <v>50</v>
      </c>
      <c r="G290">
        <v>5.08</v>
      </c>
      <c r="H290">
        <v>7.0000000000000007E-2</v>
      </c>
      <c r="I290">
        <v>0.88</v>
      </c>
      <c r="J290">
        <v>3.53</v>
      </c>
      <c r="K290">
        <v>1</v>
      </c>
      <c r="L290">
        <v>24.62</v>
      </c>
      <c r="M290">
        <f t="shared" si="8"/>
        <v>3.5000000000000004</v>
      </c>
      <c r="N290">
        <f t="shared" si="9"/>
        <v>44</v>
      </c>
    </row>
    <row r="291" spans="1:14" x14ac:dyDescent="0.35">
      <c r="A291" t="s">
        <v>34</v>
      </c>
      <c r="B291" t="s">
        <v>33</v>
      </c>
      <c r="C291" t="s">
        <v>20</v>
      </c>
      <c r="D291" t="s">
        <v>17</v>
      </c>
      <c r="E291" t="s">
        <v>21</v>
      </c>
      <c r="F291">
        <v>44</v>
      </c>
      <c r="G291">
        <v>8.3800000000000008</v>
      </c>
      <c r="H291">
        <v>0.13</v>
      </c>
      <c r="I291">
        <v>0.81</v>
      </c>
      <c r="J291">
        <v>4.58</v>
      </c>
      <c r="K291">
        <v>1</v>
      </c>
      <c r="L291">
        <v>29.57</v>
      </c>
      <c r="M291">
        <f t="shared" si="8"/>
        <v>5.7200000000000006</v>
      </c>
      <c r="N291">
        <f t="shared" si="9"/>
        <v>35.64</v>
      </c>
    </row>
    <row r="292" spans="1:14" x14ac:dyDescent="0.35">
      <c r="A292" t="s">
        <v>34</v>
      </c>
      <c r="B292" t="s">
        <v>33</v>
      </c>
      <c r="C292" t="s">
        <v>20</v>
      </c>
      <c r="D292" t="s">
        <v>18</v>
      </c>
      <c r="E292" t="s">
        <v>16</v>
      </c>
      <c r="F292">
        <v>66</v>
      </c>
      <c r="G292">
        <v>6.39</v>
      </c>
      <c r="H292">
        <v>0.09</v>
      </c>
      <c r="I292">
        <v>0.72</v>
      </c>
      <c r="J292">
        <v>4.76</v>
      </c>
      <c r="K292">
        <v>1</v>
      </c>
      <c r="L292">
        <v>26.58</v>
      </c>
      <c r="M292">
        <f t="shared" si="8"/>
        <v>5.9399999999999995</v>
      </c>
      <c r="N292">
        <f t="shared" si="9"/>
        <v>47.519999999999996</v>
      </c>
    </row>
    <row r="293" spans="1:14" x14ac:dyDescent="0.35">
      <c r="A293" t="s">
        <v>34</v>
      </c>
      <c r="B293" t="s">
        <v>33</v>
      </c>
      <c r="C293" t="s">
        <v>22</v>
      </c>
      <c r="D293" t="s">
        <v>15</v>
      </c>
      <c r="E293" t="s">
        <v>16</v>
      </c>
      <c r="F293">
        <v>70</v>
      </c>
      <c r="G293">
        <v>8.07</v>
      </c>
      <c r="H293">
        <v>0.02</v>
      </c>
      <c r="I293">
        <v>0.86</v>
      </c>
      <c r="J293">
        <v>4.04</v>
      </c>
      <c r="K293">
        <v>0</v>
      </c>
      <c r="L293">
        <v>27.1</v>
      </c>
      <c r="M293">
        <f t="shared" si="8"/>
        <v>1.4000000000000001</v>
      </c>
      <c r="N293">
        <f t="shared" si="9"/>
        <v>60.199999999999996</v>
      </c>
    </row>
    <row r="294" spans="1:14" x14ac:dyDescent="0.35">
      <c r="A294" t="s">
        <v>34</v>
      </c>
      <c r="B294" t="s">
        <v>33</v>
      </c>
      <c r="C294" t="s">
        <v>22</v>
      </c>
      <c r="D294" t="s">
        <v>17</v>
      </c>
      <c r="E294" t="s">
        <v>16</v>
      </c>
      <c r="F294">
        <v>62</v>
      </c>
      <c r="G294">
        <v>6.48</v>
      </c>
      <c r="H294">
        <v>0.13</v>
      </c>
      <c r="I294">
        <v>0.86</v>
      </c>
      <c r="J294">
        <v>3.59</v>
      </c>
      <c r="K294">
        <v>1</v>
      </c>
      <c r="L294">
        <v>26.72</v>
      </c>
      <c r="M294">
        <f t="shared" si="8"/>
        <v>8.06</v>
      </c>
      <c r="N294">
        <f t="shared" si="9"/>
        <v>53.32</v>
      </c>
    </row>
    <row r="295" spans="1:14" x14ac:dyDescent="0.35">
      <c r="A295" t="s">
        <v>34</v>
      </c>
      <c r="B295" t="s">
        <v>33</v>
      </c>
      <c r="C295" t="s">
        <v>22</v>
      </c>
      <c r="D295" t="s">
        <v>18</v>
      </c>
      <c r="E295" t="s">
        <v>16</v>
      </c>
      <c r="F295">
        <v>35</v>
      </c>
      <c r="G295">
        <v>7.56</v>
      </c>
      <c r="H295">
        <v>0.05</v>
      </c>
      <c r="I295">
        <v>0.81</v>
      </c>
      <c r="J295">
        <v>4.0599999999999996</v>
      </c>
      <c r="K295">
        <v>0</v>
      </c>
      <c r="L295">
        <v>26.34</v>
      </c>
      <c r="M295">
        <f t="shared" si="8"/>
        <v>1.75</v>
      </c>
      <c r="N295">
        <f t="shared" si="9"/>
        <v>28.35</v>
      </c>
    </row>
    <row r="296" spans="1:14" x14ac:dyDescent="0.35">
      <c r="A296" t="s">
        <v>34</v>
      </c>
      <c r="B296" t="s">
        <v>33</v>
      </c>
      <c r="C296" t="s">
        <v>23</v>
      </c>
      <c r="D296" t="s">
        <v>15</v>
      </c>
      <c r="E296" t="s">
        <v>16</v>
      </c>
      <c r="F296">
        <v>31</v>
      </c>
      <c r="G296">
        <v>9.1300000000000008</v>
      </c>
      <c r="H296">
        <v>0.06</v>
      </c>
      <c r="I296">
        <v>0.87</v>
      </c>
      <c r="J296">
        <v>3.65</v>
      </c>
      <c r="K296">
        <v>0</v>
      </c>
      <c r="L296">
        <v>28.7</v>
      </c>
      <c r="M296">
        <f t="shared" si="8"/>
        <v>1.8599999999999999</v>
      </c>
      <c r="N296">
        <f t="shared" si="9"/>
        <v>26.97</v>
      </c>
    </row>
    <row r="297" spans="1:14" x14ac:dyDescent="0.35">
      <c r="A297" t="s">
        <v>34</v>
      </c>
      <c r="B297" t="s">
        <v>33</v>
      </c>
      <c r="C297" t="s">
        <v>23</v>
      </c>
      <c r="D297" t="s">
        <v>17</v>
      </c>
      <c r="E297" t="s">
        <v>21</v>
      </c>
      <c r="F297">
        <v>78</v>
      </c>
      <c r="G297">
        <v>7.24</v>
      </c>
      <c r="H297">
        <v>0.05</v>
      </c>
      <c r="I297">
        <v>0.79</v>
      </c>
      <c r="J297">
        <v>3.71</v>
      </c>
      <c r="K297">
        <v>0</v>
      </c>
      <c r="L297">
        <v>25.86</v>
      </c>
      <c r="M297">
        <f t="shared" si="8"/>
        <v>3.9000000000000004</v>
      </c>
      <c r="N297">
        <f t="shared" si="9"/>
        <v>61.620000000000005</v>
      </c>
    </row>
    <row r="298" spans="1:14" x14ac:dyDescent="0.35">
      <c r="A298" t="s">
        <v>34</v>
      </c>
      <c r="B298" t="s">
        <v>33</v>
      </c>
      <c r="C298" t="s">
        <v>23</v>
      </c>
      <c r="D298" t="s">
        <v>18</v>
      </c>
      <c r="E298" t="s">
        <v>21</v>
      </c>
      <c r="F298">
        <v>51</v>
      </c>
      <c r="G298">
        <v>6.53</v>
      </c>
      <c r="H298">
        <v>0.05</v>
      </c>
      <c r="I298">
        <v>0.84</v>
      </c>
      <c r="J298">
        <v>4.2300000000000004</v>
      </c>
      <c r="K298">
        <v>1</v>
      </c>
      <c r="L298">
        <v>26.8</v>
      </c>
      <c r="M298">
        <f t="shared" si="8"/>
        <v>2.5500000000000003</v>
      </c>
      <c r="N298">
        <f t="shared" si="9"/>
        <v>42.839999999999996</v>
      </c>
    </row>
    <row r="299" spans="1:14" x14ac:dyDescent="0.35">
      <c r="A299" t="s">
        <v>34</v>
      </c>
      <c r="B299" t="s">
        <v>33</v>
      </c>
      <c r="C299" t="s">
        <v>24</v>
      </c>
      <c r="D299" t="s">
        <v>15</v>
      </c>
      <c r="E299" t="s">
        <v>16</v>
      </c>
      <c r="F299">
        <v>31</v>
      </c>
      <c r="G299">
        <v>7.96</v>
      </c>
      <c r="H299">
        <v>0.03</v>
      </c>
      <c r="I299">
        <v>0.82</v>
      </c>
      <c r="J299">
        <v>4.68</v>
      </c>
      <c r="K299">
        <v>0</v>
      </c>
      <c r="L299">
        <v>26.94</v>
      </c>
      <c r="M299">
        <f t="shared" si="8"/>
        <v>0.92999999999999994</v>
      </c>
      <c r="N299">
        <f t="shared" si="9"/>
        <v>25.419999999999998</v>
      </c>
    </row>
    <row r="300" spans="1:14" x14ac:dyDescent="0.35">
      <c r="A300" t="s">
        <v>34</v>
      </c>
      <c r="B300" t="s">
        <v>33</v>
      </c>
      <c r="C300" t="s">
        <v>24</v>
      </c>
      <c r="D300" t="s">
        <v>17</v>
      </c>
      <c r="E300" t="s">
        <v>16</v>
      </c>
      <c r="F300">
        <v>35</v>
      </c>
      <c r="G300">
        <v>6.7</v>
      </c>
      <c r="H300">
        <v>7.0000000000000007E-2</v>
      </c>
      <c r="I300">
        <v>0.76</v>
      </c>
      <c r="J300">
        <v>4.07</v>
      </c>
      <c r="K300">
        <v>0</v>
      </c>
      <c r="L300">
        <v>25.05</v>
      </c>
      <c r="M300">
        <f t="shared" si="8"/>
        <v>2.4500000000000002</v>
      </c>
      <c r="N300">
        <f t="shared" si="9"/>
        <v>26.6</v>
      </c>
    </row>
    <row r="301" spans="1:14" x14ac:dyDescent="0.35">
      <c r="A301" t="s">
        <v>34</v>
      </c>
      <c r="B301" t="s">
        <v>33</v>
      </c>
      <c r="C301" t="s">
        <v>24</v>
      </c>
      <c r="D301" t="s">
        <v>18</v>
      </c>
      <c r="E301" t="s">
        <v>19</v>
      </c>
      <c r="F301">
        <v>37</v>
      </c>
      <c r="G301">
        <v>5.37</v>
      </c>
      <c r="H301">
        <v>0.12</v>
      </c>
      <c r="I301">
        <v>0.8</v>
      </c>
      <c r="J301">
        <v>4.25</v>
      </c>
      <c r="K301">
        <v>1</v>
      </c>
      <c r="L301">
        <v>25.06</v>
      </c>
      <c r="M301">
        <f t="shared" si="8"/>
        <v>4.4399999999999995</v>
      </c>
      <c r="N301">
        <f t="shared" si="9"/>
        <v>29.6</v>
      </c>
    </row>
    <row r="302" spans="1:14" x14ac:dyDescent="0.35">
      <c r="A302" t="s">
        <v>35</v>
      </c>
      <c r="B302" t="s">
        <v>13</v>
      </c>
      <c r="C302" t="s">
        <v>14</v>
      </c>
      <c r="D302" t="s">
        <v>15</v>
      </c>
      <c r="E302" t="s">
        <v>21</v>
      </c>
      <c r="F302">
        <v>76</v>
      </c>
      <c r="G302">
        <v>3.24</v>
      </c>
      <c r="H302">
        <v>0.09</v>
      </c>
      <c r="I302">
        <v>0.77</v>
      </c>
      <c r="J302">
        <v>4.3</v>
      </c>
      <c r="K302">
        <v>0</v>
      </c>
      <c r="L302">
        <v>19.86</v>
      </c>
      <c r="M302">
        <f t="shared" si="8"/>
        <v>6.84</v>
      </c>
      <c r="N302">
        <f t="shared" si="9"/>
        <v>58.52</v>
      </c>
    </row>
    <row r="303" spans="1:14" x14ac:dyDescent="0.35">
      <c r="A303" t="s">
        <v>35</v>
      </c>
      <c r="B303" t="s">
        <v>13</v>
      </c>
      <c r="C303" t="s">
        <v>14</v>
      </c>
      <c r="D303" t="s">
        <v>17</v>
      </c>
      <c r="E303" t="s">
        <v>21</v>
      </c>
      <c r="F303">
        <v>72</v>
      </c>
      <c r="G303">
        <v>7.06</v>
      </c>
      <c r="H303">
        <v>0.15</v>
      </c>
      <c r="I303">
        <v>0.77</v>
      </c>
      <c r="J303">
        <v>3.76</v>
      </c>
      <c r="K303">
        <v>0</v>
      </c>
      <c r="L303">
        <v>25.59</v>
      </c>
      <c r="M303">
        <f t="shared" si="8"/>
        <v>10.799999999999999</v>
      </c>
      <c r="N303">
        <f t="shared" si="9"/>
        <v>55.44</v>
      </c>
    </row>
    <row r="304" spans="1:14" x14ac:dyDescent="0.35">
      <c r="A304" t="s">
        <v>35</v>
      </c>
      <c r="B304" t="s">
        <v>13</v>
      </c>
      <c r="C304" t="s">
        <v>14</v>
      </c>
      <c r="D304" t="s">
        <v>18</v>
      </c>
      <c r="E304" t="s">
        <v>21</v>
      </c>
      <c r="F304">
        <v>77</v>
      </c>
      <c r="G304">
        <v>5.8</v>
      </c>
      <c r="H304">
        <v>0.1</v>
      </c>
      <c r="I304">
        <v>0.62</v>
      </c>
      <c r="J304">
        <v>4.6500000000000004</v>
      </c>
      <c r="K304">
        <v>2</v>
      </c>
      <c r="L304">
        <v>27.7</v>
      </c>
      <c r="M304">
        <f t="shared" si="8"/>
        <v>7.7</v>
      </c>
      <c r="N304">
        <f t="shared" si="9"/>
        <v>47.74</v>
      </c>
    </row>
    <row r="305" spans="1:14" x14ac:dyDescent="0.35">
      <c r="A305" t="s">
        <v>35</v>
      </c>
      <c r="B305" t="s">
        <v>13</v>
      </c>
      <c r="C305" t="s">
        <v>20</v>
      </c>
      <c r="D305" t="s">
        <v>15</v>
      </c>
      <c r="E305" t="s">
        <v>16</v>
      </c>
      <c r="F305">
        <v>45</v>
      </c>
      <c r="G305">
        <v>4.84</v>
      </c>
      <c r="H305">
        <v>0.15</v>
      </c>
      <c r="I305">
        <v>0.82</v>
      </c>
      <c r="J305">
        <v>3.66</v>
      </c>
      <c r="K305">
        <v>1</v>
      </c>
      <c r="L305">
        <v>24.26</v>
      </c>
      <c r="M305">
        <f t="shared" si="8"/>
        <v>6.75</v>
      </c>
      <c r="N305">
        <f t="shared" si="9"/>
        <v>36.9</v>
      </c>
    </row>
    <row r="306" spans="1:14" x14ac:dyDescent="0.35">
      <c r="A306" t="s">
        <v>35</v>
      </c>
      <c r="B306" t="s">
        <v>13</v>
      </c>
      <c r="C306" t="s">
        <v>20</v>
      </c>
      <c r="D306" t="s">
        <v>17</v>
      </c>
      <c r="E306" t="s">
        <v>16</v>
      </c>
      <c r="F306">
        <v>57</v>
      </c>
      <c r="G306">
        <v>5.81</v>
      </c>
      <c r="H306">
        <v>0.04</v>
      </c>
      <c r="I306">
        <v>0.75</v>
      </c>
      <c r="J306">
        <v>4.2300000000000004</v>
      </c>
      <c r="K306">
        <v>0</v>
      </c>
      <c r="L306">
        <v>23.72</v>
      </c>
      <c r="M306">
        <f t="shared" si="8"/>
        <v>2.2800000000000002</v>
      </c>
      <c r="N306">
        <f t="shared" si="9"/>
        <v>42.75</v>
      </c>
    </row>
    <row r="307" spans="1:14" x14ac:dyDescent="0.35">
      <c r="A307" t="s">
        <v>35</v>
      </c>
      <c r="B307" t="s">
        <v>13</v>
      </c>
      <c r="C307" t="s">
        <v>20</v>
      </c>
      <c r="D307" t="s">
        <v>18</v>
      </c>
      <c r="E307" t="s">
        <v>21</v>
      </c>
      <c r="F307">
        <v>63</v>
      </c>
      <c r="G307">
        <v>6.99</v>
      </c>
      <c r="H307">
        <v>0.05</v>
      </c>
      <c r="I307">
        <v>0.69</v>
      </c>
      <c r="J307">
        <v>4.7699999999999996</v>
      </c>
      <c r="K307">
        <v>0</v>
      </c>
      <c r="L307">
        <v>25.48</v>
      </c>
      <c r="M307">
        <f t="shared" si="8"/>
        <v>3.1500000000000004</v>
      </c>
      <c r="N307">
        <f t="shared" si="9"/>
        <v>43.47</v>
      </c>
    </row>
    <row r="308" spans="1:14" x14ac:dyDescent="0.35">
      <c r="A308" t="s">
        <v>35</v>
      </c>
      <c r="B308" t="s">
        <v>13</v>
      </c>
      <c r="C308" t="s">
        <v>22</v>
      </c>
      <c r="D308" t="s">
        <v>15</v>
      </c>
      <c r="E308" t="s">
        <v>19</v>
      </c>
      <c r="F308">
        <v>67</v>
      </c>
      <c r="G308">
        <v>7.81</v>
      </c>
      <c r="H308">
        <v>0.13</v>
      </c>
      <c r="I308">
        <v>0.82</v>
      </c>
      <c r="J308">
        <v>4.57</v>
      </c>
      <c r="K308">
        <v>0</v>
      </c>
      <c r="L308">
        <v>26.72</v>
      </c>
      <c r="M308">
        <f t="shared" si="8"/>
        <v>8.7100000000000009</v>
      </c>
      <c r="N308">
        <f t="shared" si="9"/>
        <v>54.94</v>
      </c>
    </row>
    <row r="309" spans="1:14" x14ac:dyDescent="0.35">
      <c r="A309" t="s">
        <v>35</v>
      </c>
      <c r="B309" t="s">
        <v>13</v>
      </c>
      <c r="C309" t="s">
        <v>22</v>
      </c>
      <c r="D309" t="s">
        <v>17</v>
      </c>
      <c r="E309" t="s">
        <v>16</v>
      </c>
      <c r="F309">
        <v>63</v>
      </c>
      <c r="G309">
        <v>6.35</v>
      </c>
      <c r="H309">
        <v>0.13</v>
      </c>
      <c r="I309">
        <v>0.88</v>
      </c>
      <c r="J309">
        <v>4.18</v>
      </c>
      <c r="K309">
        <v>0</v>
      </c>
      <c r="L309">
        <v>24.52</v>
      </c>
      <c r="M309">
        <f t="shared" si="8"/>
        <v>8.19</v>
      </c>
      <c r="N309">
        <f t="shared" si="9"/>
        <v>55.44</v>
      </c>
    </row>
    <row r="310" spans="1:14" x14ac:dyDescent="0.35">
      <c r="A310" t="s">
        <v>35</v>
      </c>
      <c r="B310" t="s">
        <v>13</v>
      </c>
      <c r="C310" t="s">
        <v>22</v>
      </c>
      <c r="D310" t="s">
        <v>18</v>
      </c>
      <c r="E310" t="s">
        <v>19</v>
      </c>
      <c r="F310">
        <v>55</v>
      </c>
      <c r="G310">
        <v>5.76</v>
      </c>
      <c r="H310">
        <v>0.09</v>
      </c>
      <c r="I310">
        <v>0.69</v>
      </c>
      <c r="J310">
        <v>4.09</v>
      </c>
      <c r="K310">
        <v>1</v>
      </c>
      <c r="L310">
        <v>25.64</v>
      </c>
      <c r="M310">
        <f t="shared" si="8"/>
        <v>4.95</v>
      </c>
      <c r="N310">
        <f t="shared" si="9"/>
        <v>37.949999999999996</v>
      </c>
    </row>
    <row r="311" spans="1:14" x14ac:dyDescent="0.35">
      <c r="A311" t="s">
        <v>35</v>
      </c>
      <c r="B311" t="s">
        <v>13</v>
      </c>
      <c r="C311" t="s">
        <v>23</v>
      </c>
      <c r="D311" t="s">
        <v>15</v>
      </c>
      <c r="E311" t="s">
        <v>16</v>
      </c>
      <c r="F311">
        <v>77</v>
      </c>
      <c r="G311">
        <v>5.63</v>
      </c>
      <c r="H311">
        <v>0.1</v>
      </c>
      <c r="I311">
        <v>0.86</v>
      </c>
      <c r="J311">
        <v>4.55</v>
      </c>
      <c r="K311">
        <v>2</v>
      </c>
      <c r="L311">
        <v>27.44</v>
      </c>
      <c r="M311">
        <f t="shared" si="8"/>
        <v>7.7</v>
      </c>
      <c r="N311">
        <f t="shared" si="9"/>
        <v>66.22</v>
      </c>
    </row>
    <row r="312" spans="1:14" x14ac:dyDescent="0.35">
      <c r="A312" t="s">
        <v>35</v>
      </c>
      <c r="B312" t="s">
        <v>13</v>
      </c>
      <c r="C312" t="s">
        <v>23</v>
      </c>
      <c r="D312" t="s">
        <v>17</v>
      </c>
      <c r="E312" t="s">
        <v>19</v>
      </c>
      <c r="F312">
        <v>62</v>
      </c>
      <c r="G312">
        <v>6.37</v>
      </c>
      <c r="H312">
        <v>0.13</v>
      </c>
      <c r="I312">
        <v>0.85</v>
      </c>
      <c r="J312">
        <v>3.59</v>
      </c>
      <c r="K312">
        <v>0</v>
      </c>
      <c r="L312">
        <v>24.56</v>
      </c>
      <c r="M312">
        <f t="shared" si="8"/>
        <v>8.06</v>
      </c>
      <c r="N312">
        <f t="shared" si="9"/>
        <v>52.699999999999996</v>
      </c>
    </row>
    <row r="313" spans="1:14" x14ac:dyDescent="0.35">
      <c r="A313" t="s">
        <v>35</v>
      </c>
      <c r="B313" t="s">
        <v>13</v>
      </c>
      <c r="C313" t="s">
        <v>23</v>
      </c>
      <c r="D313" t="s">
        <v>18</v>
      </c>
      <c r="E313" t="s">
        <v>21</v>
      </c>
      <c r="F313">
        <v>30</v>
      </c>
      <c r="G313">
        <v>5.21</v>
      </c>
      <c r="H313">
        <v>0.13</v>
      </c>
      <c r="I313">
        <v>0.67</v>
      </c>
      <c r="J313">
        <v>4.34</v>
      </c>
      <c r="K313">
        <v>1</v>
      </c>
      <c r="L313">
        <v>24.82</v>
      </c>
      <c r="M313">
        <f t="shared" si="8"/>
        <v>3.9000000000000004</v>
      </c>
      <c r="N313">
        <f t="shared" si="9"/>
        <v>20.100000000000001</v>
      </c>
    </row>
    <row r="314" spans="1:14" x14ac:dyDescent="0.35">
      <c r="A314" t="s">
        <v>35</v>
      </c>
      <c r="B314" t="s">
        <v>13</v>
      </c>
      <c r="C314" t="s">
        <v>24</v>
      </c>
      <c r="D314" t="s">
        <v>15</v>
      </c>
      <c r="E314" t="s">
        <v>16</v>
      </c>
      <c r="F314">
        <v>67</v>
      </c>
      <c r="G314">
        <v>5.41</v>
      </c>
      <c r="H314">
        <v>0.12</v>
      </c>
      <c r="I314">
        <v>0.81</v>
      </c>
      <c r="J314">
        <v>4.49</v>
      </c>
      <c r="K314">
        <v>2</v>
      </c>
      <c r="L314">
        <v>27.12</v>
      </c>
      <c r="M314">
        <f t="shared" si="8"/>
        <v>8.0399999999999991</v>
      </c>
      <c r="N314">
        <f t="shared" si="9"/>
        <v>54.27</v>
      </c>
    </row>
    <row r="315" spans="1:14" x14ac:dyDescent="0.35">
      <c r="A315" t="s">
        <v>35</v>
      </c>
      <c r="B315" t="s">
        <v>13</v>
      </c>
      <c r="C315" t="s">
        <v>24</v>
      </c>
      <c r="D315" t="s">
        <v>17</v>
      </c>
      <c r="E315" t="s">
        <v>19</v>
      </c>
      <c r="F315">
        <v>38</v>
      </c>
      <c r="G315">
        <v>5.81</v>
      </c>
      <c r="H315">
        <v>0.25</v>
      </c>
      <c r="I315">
        <v>0.85</v>
      </c>
      <c r="J315">
        <v>3.84</v>
      </c>
      <c r="K315">
        <v>2</v>
      </c>
      <c r="L315">
        <v>27.72</v>
      </c>
      <c r="M315">
        <f t="shared" si="8"/>
        <v>9.5</v>
      </c>
      <c r="N315">
        <f t="shared" si="9"/>
        <v>32.299999999999997</v>
      </c>
    </row>
    <row r="316" spans="1:14" x14ac:dyDescent="0.35">
      <c r="A316" t="s">
        <v>35</v>
      </c>
      <c r="B316" t="s">
        <v>13</v>
      </c>
      <c r="C316" t="s">
        <v>24</v>
      </c>
      <c r="D316" t="s">
        <v>18</v>
      </c>
      <c r="E316" t="s">
        <v>16</v>
      </c>
      <c r="F316">
        <v>52</v>
      </c>
      <c r="G316">
        <v>5.62</v>
      </c>
      <c r="H316">
        <v>7.0000000000000007E-2</v>
      </c>
      <c r="I316">
        <v>0.66</v>
      </c>
      <c r="J316">
        <v>4</v>
      </c>
      <c r="K316">
        <v>0</v>
      </c>
      <c r="L316">
        <v>23.43</v>
      </c>
      <c r="M316">
        <f t="shared" si="8"/>
        <v>3.6400000000000006</v>
      </c>
      <c r="N316">
        <f t="shared" si="9"/>
        <v>34.32</v>
      </c>
    </row>
    <row r="317" spans="1:14" x14ac:dyDescent="0.35">
      <c r="A317" t="s">
        <v>35</v>
      </c>
      <c r="B317" t="s">
        <v>25</v>
      </c>
      <c r="C317" t="s">
        <v>14</v>
      </c>
      <c r="D317" t="s">
        <v>15</v>
      </c>
      <c r="E317" t="s">
        <v>16</v>
      </c>
      <c r="F317">
        <v>43</v>
      </c>
      <c r="G317">
        <v>4.8600000000000003</v>
      </c>
      <c r="H317">
        <v>0.08</v>
      </c>
      <c r="I317">
        <v>0.75</v>
      </c>
      <c r="J317">
        <v>4.05</v>
      </c>
      <c r="K317">
        <v>0</v>
      </c>
      <c r="L317">
        <v>22.29</v>
      </c>
      <c r="M317">
        <f t="shared" si="8"/>
        <v>3.44</v>
      </c>
      <c r="N317">
        <f t="shared" si="9"/>
        <v>32.25</v>
      </c>
    </row>
    <row r="318" spans="1:14" x14ac:dyDescent="0.35">
      <c r="A318" t="s">
        <v>35</v>
      </c>
      <c r="B318" t="s">
        <v>25</v>
      </c>
      <c r="C318" t="s">
        <v>14</v>
      </c>
      <c r="D318" t="s">
        <v>17</v>
      </c>
      <c r="E318" t="s">
        <v>21</v>
      </c>
      <c r="F318">
        <v>51</v>
      </c>
      <c r="G318">
        <v>5.56</v>
      </c>
      <c r="H318">
        <v>0.14000000000000001</v>
      </c>
      <c r="I318">
        <v>0.86</v>
      </c>
      <c r="J318">
        <v>4.55</v>
      </c>
      <c r="K318">
        <v>0</v>
      </c>
      <c r="L318">
        <v>23.34</v>
      </c>
      <c r="M318">
        <f t="shared" si="8"/>
        <v>7.1400000000000006</v>
      </c>
      <c r="N318">
        <f t="shared" si="9"/>
        <v>43.86</v>
      </c>
    </row>
    <row r="319" spans="1:14" x14ac:dyDescent="0.35">
      <c r="A319" t="s">
        <v>35</v>
      </c>
      <c r="B319" t="s">
        <v>25</v>
      </c>
      <c r="C319" t="s">
        <v>14</v>
      </c>
      <c r="D319" t="s">
        <v>18</v>
      </c>
      <c r="E319" t="s">
        <v>21</v>
      </c>
      <c r="F319">
        <v>38</v>
      </c>
      <c r="G319">
        <v>6.75</v>
      </c>
      <c r="H319">
        <v>0.06</v>
      </c>
      <c r="I319">
        <v>0.81</v>
      </c>
      <c r="J319">
        <v>3.87</v>
      </c>
      <c r="K319">
        <v>2</v>
      </c>
      <c r="L319">
        <v>29.12</v>
      </c>
      <c r="M319">
        <f t="shared" si="8"/>
        <v>2.2799999999999998</v>
      </c>
      <c r="N319">
        <f t="shared" si="9"/>
        <v>30.78</v>
      </c>
    </row>
    <row r="320" spans="1:14" x14ac:dyDescent="0.35">
      <c r="A320" t="s">
        <v>35</v>
      </c>
      <c r="B320" t="s">
        <v>25</v>
      </c>
      <c r="C320" t="s">
        <v>20</v>
      </c>
      <c r="D320" t="s">
        <v>15</v>
      </c>
      <c r="E320" t="s">
        <v>19</v>
      </c>
      <c r="F320">
        <v>67</v>
      </c>
      <c r="G320">
        <v>4.3</v>
      </c>
      <c r="H320">
        <v>0.26</v>
      </c>
      <c r="I320">
        <v>0.76</v>
      </c>
      <c r="J320">
        <v>3.79</v>
      </c>
      <c r="K320">
        <v>1</v>
      </c>
      <c r="L320">
        <v>23.45</v>
      </c>
      <c r="M320">
        <f t="shared" si="8"/>
        <v>17.420000000000002</v>
      </c>
      <c r="N320">
        <f t="shared" si="9"/>
        <v>50.92</v>
      </c>
    </row>
    <row r="321" spans="1:14" x14ac:dyDescent="0.35">
      <c r="A321" t="s">
        <v>35</v>
      </c>
      <c r="B321" t="s">
        <v>25</v>
      </c>
      <c r="C321" t="s">
        <v>20</v>
      </c>
      <c r="D321" t="s">
        <v>17</v>
      </c>
      <c r="E321" t="s">
        <v>16</v>
      </c>
      <c r="F321">
        <v>33</v>
      </c>
      <c r="G321">
        <v>6.53</v>
      </c>
      <c r="H321">
        <v>0.13</v>
      </c>
      <c r="I321">
        <v>0.88</v>
      </c>
      <c r="J321">
        <v>3.93</v>
      </c>
      <c r="K321">
        <v>0</v>
      </c>
      <c r="L321">
        <v>24.8</v>
      </c>
      <c r="M321">
        <f t="shared" si="8"/>
        <v>4.29</v>
      </c>
      <c r="N321">
        <f t="shared" si="9"/>
        <v>29.04</v>
      </c>
    </row>
    <row r="322" spans="1:14" x14ac:dyDescent="0.35">
      <c r="A322" t="s">
        <v>35</v>
      </c>
      <c r="B322" t="s">
        <v>25</v>
      </c>
      <c r="C322" t="s">
        <v>20</v>
      </c>
      <c r="D322" t="s">
        <v>18</v>
      </c>
      <c r="E322" t="s">
        <v>21</v>
      </c>
      <c r="F322">
        <v>45</v>
      </c>
      <c r="G322">
        <v>6.73</v>
      </c>
      <c r="H322">
        <v>0.02</v>
      </c>
      <c r="I322">
        <v>0.75</v>
      </c>
      <c r="J322">
        <v>4.79</v>
      </c>
      <c r="K322">
        <v>2</v>
      </c>
      <c r="L322">
        <v>29.1</v>
      </c>
      <c r="M322">
        <f t="shared" si="8"/>
        <v>0.9</v>
      </c>
      <c r="N322">
        <f t="shared" si="9"/>
        <v>33.75</v>
      </c>
    </row>
    <row r="323" spans="1:14" x14ac:dyDescent="0.35">
      <c r="A323" t="s">
        <v>35</v>
      </c>
      <c r="B323" t="s">
        <v>25</v>
      </c>
      <c r="C323" t="s">
        <v>22</v>
      </c>
      <c r="D323" t="s">
        <v>15</v>
      </c>
      <c r="E323" t="s">
        <v>16</v>
      </c>
      <c r="F323">
        <v>34</v>
      </c>
      <c r="G323">
        <v>5.35</v>
      </c>
      <c r="H323">
        <v>0.05</v>
      </c>
      <c r="I323">
        <v>0.78</v>
      </c>
      <c r="J323">
        <v>4.13</v>
      </c>
      <c r="K323">
        <v>1</v>
      </c>
      <c r="L323">
        <v>25.02</v>
      </c>
      <c r="M323">
        <f t="shared" ref="M323:M386" si="10">SUM(F323*H323)</f>
        <v>1.7000000000000002</v>
      </c>
      <c r="N323">
        <f t="shared" ref="N323:N386" si="11">SUM(I323*F323)</f>
        <v>26.52</v>
      </c>
    </row>
    <row r="324" spans="1:14" x14ac:dyDescent="0.35">
      <c r="A324" t="s">
        <v>35</v>
      </c>
      <c r="B324" t="s">
        <v>25</v>
      </c>
      <c r="C324" t="s">
        <v>22</v>
      </c>
      <c r="D324" t="s">
        <v>17</v>
      </c>
      <c r="E324" t="s">
        <v>16</v>
      </c>
      <c r="F324">
        <v>38</v>
      </c>
      <c r="G324">
        <v>6.98</v>
      </c>
      <c r="H324">
        <v>0.13</v>
      </c>
      <c r="I324">
        <v>0.84</v>
      </c>
      <c r="J324">
        <v>4.17</v>
      </c>
      <c r="K324">
        <v>0</v>
      </c>
      <c r="L324">
        <v>25.47</v>
      </c>
      <c r="M324">
        <f t="shared" si="10"/>
        <v>4.9400000000000004</v>
      </c>
      <c r="N324">
        <f t="shared" si="11"/>
        <v>31.919999999999998</v>
      </c>
    </row>
    <row r="325" spans="1:14" x14ac:dyDescent="0.35">
      <c r="A325" t="s">
        <v>35</v>
      </c>
      <c r="B325" t="s">
        <v>25</v>
      </c>
      <c r="C325" t="s">
        <v>22</v>
      </c>
      <c r="D325" t="s">
        <v>18</v>
      </c>
      <c r="E325" t="s">
        <v>16</v>
      </c>
      <c r="F325">
        <v>41</v>
      </c>
      <c r="G325">
        <v>6.5</v>
      </c>
      <c r="H325">
        <v>0.08</v>
      </c>
      <c r="I325">
        <v>0.63</v>
      </c>
      <c r="J325">
        <v>3.94</v>
      </c>
      <c r="K325">
        <v>0</v>
      </c>
      <c r="L325">
        <v>24.75</v>
      </c>
      <c r="M325">
        <f t="shared" si="10"/>
        <v>3.2800000000000002</v>
      </c>
      <c r="N325">
        <f t="shared" si="11"/>
        <v>25.830000000000002</v>
      </c>
    </row>
    <row r="326" spans="1:14" x14ac:dyDescent="0.35">
      <c r="A326" t="s">
        <v>35</v>
      </c>
      <c r="B326" t="s">
        <v>25</v>
      </c>
      <c r="C326" t="s">
        <v>23</v>
      </c>
      <c r="D326" t="s">
        <v>15</v>
      </c>
      <c r="E326" t="s">
        <v>19</v>
      </c>
      <c r="F326">
        <v>50</v>
      </c>
      <c r="G326">
        <v>7.22</v>
      </c>
      <c r="H326">
        <v>0.23</v>
      </c>
      <c r="I326">
        <v>0.79</v>
      </c>
      <c r="J326">
        <v>4.17</v>
      </c>
      <c r="K326">
        <v>0</v>
      </c>
      <c r="L326">
        <v>25.83</v>
      </c>
      <c r="M326">
        <f t="shared" si="10"/>
        <v>11.5</v>
      </c>
      <c r="N326">
        <f t="shared" si="11"/>
        <v>39.5</v>
      </c>
    </row>
    <row r="327" spans="1:14" x14ac:dyDescent="0.35">
      <c r="A327" t="s">
        <v>35</v>
      </c>
      <c r="B327" t="s">
        <v>25</v>
      </c>
      <c r="C327" t="s">
        <v>23</v>
      </c>
      <c r="D327" t="s">
        <v>17</v>
      </c>
      <c r="E327" t="s">
        <v>16</v>
      </c>
      <c r="F327">
        <v>74</v>
      </c>
      <c r="G327">
        <v>7.75</v>
      </c>
      <c r="H327">
        <v>0.15</v>
      </c>
      <c r="I327">
        <v>0.79</v>
      </c>
      <c r="J327">
        <v>3.85</v>
      </c>
      <c r="K327">
        <v>0</v>
      </c>
      <c r="L327">
        <v>26.62</v>
      </c>
      <c r="M327">
        <f t="shared" si="10"/>
        <v>11.1</v>
      </c>
      <c r="N327">
        <f t="shared" si="11"/>
        <v>58.46</v>
      </c>
    </row>
    <row r="328" spans="1:14" x14ac:dyDescent="0.35">
      <c r="A328" t="s">
        <v>35</v>
      </c>
      <c r="B328" t="s">
        <v>25</v>
      </c>
      <c r="C328" t="s">
        <v>23</v>
      </c>
      <c r="D328" t="s">
        <v>18</v>
      </c>
      <c r="E328" t="s">
        <v>21</v>
      </c>
      <c r="F328">
        <v>37</v>
      </c>
      <c r="G328">
        <v>5.38</v>
      </c>
      <c r="H328">
        <v>0.05</v>
      </c>
      <c r="I328">
        <v>0.69</v>
      </c>
      <c r="J328">
        <v>4.1100000000000003</v>
      </c>
      <c r="K328">
        <v>0</v>
      </c>
      <c r="L328">
        <v>23.07</v>
      </c>
      <c r="M328">
        <f t="shared" si="10"/>
        <v>1.85</v>
      </c>
      <c r="N328">
        <f t="shared" si="11"/>
        <v>25.529999999999998</v>
      </c>
    </row>
    <row r="329" spans="1:14" x14ac:dyDescent="0.35">
      <c r="A329" t="s">
        <v>35</v>
      </c>
      <c r="B329" t="s">
        <v>25</v>
      </c>
      <c r="C329" t="s">
        <v>24</v>
      </c>
      <c r="D329" t="s">
        <v>15</v>
      </c>
      <c r="E329" t="s">
        <v>19</v>
      </c>
      <c r="F329">
        <v>71</v>
      </c>
      <c r="G329">
        <v>6.19</v>
      </c>
      <c r="H329">
        <v>0.28999999999999998</v>
      </c>
      <c r="I329">
        <v>0.8</v>
      </c>
      <c r="J329">
        <v>4.13</v>
      </c>
      <c r="K329">
        <v>0</v>
      </c>
      <c r="L329">
        <v>24.28</v>
      </c>
      <c r="M329">
        <f t="shared" si="10"/>
        <v>20.59</v>
      </c>
      <c r="N329">
        <f t="shared" si="11"/>
        <v>56.800000000000004</v>
      </c>
    </row>
    <row r="330" spans="1:14" x14ac:dyDescent="0.35">
      <c r="A330" t="s">
        <v>35</v>
      </c>
      <c r="B330" t="s">
        <v>25</v>
      </c>
      <c r="C330" t="s">
        <v>24</v>
      </c>
      <c r="D330" t="s">
        <v>17</v>
      </c>
      <c r="E330" t="s">
        <v>16</v>
      </c>
      <c r="F330">
        <v>74</v>
      </c>
      <c r="G330">
        <v>8.48</v>
      </c>
      <c r="H330">
        <v>0.09</v>
      </c>
      <c r="I330">
        <v>0.88</v>
      </c>
      <c r="J330">
        <v>3.56</v>
      </c>
      <c r="K330">
        <v>2</v>
      </c>
      <c r="L330">
        <v>31.72</v>
      </c>
      <c r="M330">
        <f t="shared" si="10"/>
        <v>6.66</v>
      </c>
      <c r="N330">
        <f t="shared" si="11"/>
        <v>65.12</v>
      </c>
    </row>
    <row r="331" spans="1:14" x14ac:dyDescent="0.35">
      <c r="A331" t="s">
        <v>35</v>
      </c>
      <c r="B331" t="s">
        <v>25</v>
      </c>
      <c r="C331" t="s">
        <v>24</v>
      </c>
      <c r="D331" t="s">
        <v>18</v>
      </c>
      <c r="E331" t="s">
        <v>21</v>
      </c>
      <c r="F331">
        <v>62</v>
      </c>
      <c r="G331">
        <v>5.3</v>
      </c>
      <c r="H331">
        <v>0.06</v>
      </c>
      <c r="I331">
        <v>0.8</v>
      </c>
      <c r="J331">
        <v>4.24</v>
      </c>
      <c r="K331">
        <v>0</v>
      </c>
      <c r="L331">
        <v>22.95</v>
      </c>
      <c r="M331">
        <f t="shared" si="10"/>
        <v>3.7199999999999998</v>
      </c>
      <c r="N331">
        <f t="shared" si="11"/>
        <v>49.6</v>
      </c>
    </row>
    <row r="332" spans="1:14" x14ac:dyDescent="0.35">
      <c r="A332" t="s">
        <v>35</v>
      </c>
      <c r="B332" t="s">
        <v>26</v>
      </c>
      <c r="C332" t="s">
        <v>14</v>
      </c>
      <c r="D332" t="s">
        <v>15</v>
      </c>
      <c r="E332" t="s">
        <v>19</v>
      </c>
      <c r="F332">
        <v>70</v>
      </c>
      <c r="G332">
        <v>5.22</v>
      </c>
      <c r="H332">
        <v>0.2</v>
      </c>
      <c r="I332">
        <v>0.77</v>
      </c>
      <c r="J332">
        <v>3.95</v>
      </c>
      <c r="K332">
        <v>0</v>
      </c>
      <c r="L332">
        <v>22.83</v>
      </c>
      <c r="M332">
        <f t="shared" si="10"/>
        <v>14</v>
      </c>
      <c r="N332">
        <f t="shared" si="11"/>
        <v>53.9</v>
      </c>
    </row>
    <row r="333" spans="1:14" x14ac:dyDescent="0.35">
      <c r="A333" t="s">
        <v>35</v>
      </c>
      <c r="B333" t="s">
        <v>26</v>
      </c>
      <c r="C333" t="s">
        <v>14</v>
      </c>
      <c r="D333" t="s">
        <v>17</v>
      </c>
      <c r="E333" t="s">
        <v>21</v>
      </c>
      <c r="F333">
        <v>42</v>
      </c>
      <c r="G333">
        <v>5.81</v>
      </c>
      <c r="H333">
        <v>0.11</v>
      </c>
      <c r="I333">
        <v>0.76</v>
      </c>
      <c r="J333">
        <v>4.09</v>
      </c>
      <c r="K333">
        <v>2</v>
      </c>
      <c r="L333">
        <v>27.72</v>
      </c>
      <c r="M333">
        <f t="shared" si="10"/>
        <v>4.62</v>
      </c>
      <c r="N333">
        <f t="shared" si="11"/>
        <v>31.92</v>
      </c>
    </row>
    <row r="334" spans="1:14" x14ac:dyDescent="0.35">
      <c r="A334" t="s">
        <v>35</v>
      </c>
      <c r="B334" t="s">
        <v>26</v>
      </c>
      <c r="C334" t="s">
        <v>14</v>
      </c>
      <c r="D334" t="s">
        <v>18</v>
      </c>
      <c r="E334" t="s">
        <v>19</v>
      </c>
      <c r="F334">
        <v>69</v>
      </c>
      <c r="G334">
        <v>4.2</v>
      </c>
      <c r="H334">
        <v>0.28000000000000003</v>
      </c>
      <c r="I334">
        <v>0.78</v>
      </c>
      <c r="J334">
        <v>4.29</v>
      </c>
      <c r="K334">
        <v>0</v>
      </c>
      <c r="L334">
        <v>21.3</v>
      </c>
      <c r="M334">
        <f t="shared" si="10"/>
        <v>19.32</v>
      </c>
      <c r="N334">
        <f t="shared" si="11"/>
        <v>53.82</v>
      </c>
    </row>
    <row r="335" spans="1:14" x14ac:dyDescent="0.35">
      <c r="A335" t="s">
        <v>35</v>
      </c>
      <c r="B335" t="s">
        <v>26</v>
      </c>
      <c r="C335" t="s">
        <v>20</v>
      </c>
      <c r="D335" t="s">
        <v>15</v>
      </c>
      <c r="E335" t="s">
        <v>21</v>
      </c>
      <c r="F335">
        <v>68</v>
      </c>
      <c r="G335">
        <v>4.42</v>
      </c>
      <c r="H335">
        <v>0.14000000000000001</v>
      </c>
      <c r="I335">
        <v>0.86</v>
      </c>
      <c r="J335">
        <v>4.62</v>
      </c>
      <c r="K335">
        <v>0</v>
      </c>
      <c r="L335">
        <v>21.63</v>
      </c>
      <c r="M335">
        <f t="shared" si="10"/>
        <v>9.5200000000000014</v>
      </c>
      <c r="N335">
        <f t="shared" si="11"/>
        <v>58.48</v>
      </c>
    </row>
    <row r="336" spans="1:14" x14ac:dyDescent="0.35">
      <c r="A336" t="s">
        <v>35</v>
      </c>
      <c r="B336" t="s">
        <v>26</v>
      </c>
      <c r="C336" t="s">
        <v>20</v>
      </c>
      <c r="D336" t="s">
        <v>17</v>
      </c>
      <c r="E336" t="s">
        <v>21</v>
      </c>
      <c r="F336">
        <v>76</v>
      </c>
      <c r="G336">
        <v>6.14</v>
      </c>
      <c r="H336">
        <v>0.11</v>
      </c>
      <c r="I336">
        <v>0.77</v>
      </c>
      <c r="J336">
        <v>4</v>
      </c>
      <c r="K336">
        <v>0</v>
      </c>
      <c r="L336">
        <v>24.21</v>
      </c>
      <c r="M336">
        <f t="shared" si="10"/>
        <v>8.36</v>
      </c>
      <c r="N336">
        <f t="shared" si="11"/>
        <v>58.52</v>
      </c>
    </row>
    <row r="337" spans="1:14" x14ac:dyDescent="0.35">
      <c r="A337" t="s">
        <v>35</v>
      </c>
      <c r="B337" t="s">
        <v>26</v>
      </c>
      <c r="C337" t="s">
        <v>20</v>
      </c>
      <c r="D337" t="s">
        <v>18</v>
      </c>
      <c r="E337" t="s">
        <v>16</v>
      </c>
      <c r="F337">
        <v>48</v>
      </c>
      <c r="G337">
        <v>5.39</v>
      </c>
      <c r="H337">
        <v>0.1</v>
      </c>
      <c r="I337">
        <v>0.74</v>
      </c>
      <c r="J337">
        <v>4.67</v>
      </c>
      <c r="K337">
        <v>0</v>
      </c>
      <c r="L337">
        <v>23.08</v>
      </c>
      <c r="M337">
        <f t="shared" si="10"/>
        <v>4.8000000000000007</v>
      </c>
      <c r="N337">
        <f t="shared" si="11"/>
        <v>35.519999999999996</v>
      </c>
    </row>
    <row r="338" spans="1:14" x14ac:dyDescent="0.35">
      <c r="A338" t="s">
        <v>35</v>
      </c>
      <c r="B338" t="s">
        <v>26</v>
      </c>
      <c r="C338" t="s">
        <v>22</v>
      </c>
      <c r="D338" t="s">
        <v>15</v>
      </c>
      <c r="E338" t="s">
        <v>16</v>
      </c>
      <c r="F338">
        <v>70</v>
      </c>
      <c r="G338">
        <v>6.17</v>
      </c>
      <c r="H338">
        <v>0.11</v>
      </c>
      <c r="I338">
        <v>0.8</v>
      </c>
      <c r="J338">
        <v>4.2699999999999996</v>
      </c>
      <c r="K338">
        <v>0</v>
      </c>
      <c r="L338">
        <v>24.26</v>
      </c>
      <c r="M338">
        <f t="shared" si="10"/>
        <v>7.7</v>
      </c>
      <c r="N338">
        <f t="shared" si="11"/>
        <v>56</v>
      </c>
    </row>
    <row r="339" spans="1:14" x14ac:dyDescent="0.35">
      <c r="A339" t="s">
        <v>35</v>
      </c>
      <c r="B339" t="s">
        <v>26</v>
      </c>
      <c r="C339" t="s">
        <v>22</v>
      </c>
      <c r="D339" t="s">
        <v>17</v>
      </c>
      <c r="E339" t="s">
        <v>16</v>
      </c>
      <c r="F339">
        <v>38</v>
      </c>
      <c r="G339">
        <v>6.44</v>
      </c>
      <c r="H339">
        <v>0.1</v>
      </c>
      <c r="I339">
        <v>0.88</v>
      </c>
      <c r="J339">
        <v>4.4400000000000004</v>
      </c>
      <c r="K339">
        <v>0</v>
      </c>
      <c r="L339">
        <v>24.66</v>
      </c>
      <c r="M339">
        <f t="shared" si="10"/>
        <v>3.8000000000000003</v>
      </c>
      <c r="N339">
        <f t="shared" si="11"/>
        <v>33.44</v>
      </c>
    </row>
    <row r="340" spans="1:14" x14ac:dyDescent="0.35">
      <c r="A340" t="s">
        <v>35</v>
      </c>
      <c r="B340" t="s">
        <v>26</v>
      </c>
      <c r="C340" t="s">
        <v>22</v>
      </c>
      <c r="D340" t="s">
        <v>18</v>
      </c>
      <c r="E340" t="s">
        <v>21</v>
      </c>
      <c r="F340">
        <v>67</v>
      </c>
      <c r="G340">
        <v>6.56</v>
      </c>
      <c r="H340">
        <v>0.09</v>
      </c>
      <c r="I340">
        <v>0.71</v>
      </c>
      <c r="J340">
        <v>3.61</v>
      </c>
      <c r="K340">
        <v>0</v>
      </c>
      <c r="L340">
        <v>24.84</v>
      </c>
      <c r="M340">
        <f t="shared" si="10"/>
        <v>6.0299999999999994</v>
      </c>
      <c r="N340">
        <f t="shared" si="11"/>
        <v>47.57</v>
      </c>
    </row>
    <row r="341" spans="1:14" x14ac:dyDescent="0.35">
      <c r="A341" t="s">
        <v>35</v>
      </c>
      <c r="B341" t="s">
        <v>26</v>
      </c>
      <c r="C341" t="s">
        <v>23</v>
      </c>
      <c r="D341" t="s">
        <v>15</v>
      </c>
      <c r="E341" t="s">
        <v>21</v>
      </c>
      <c r="F341">
        <v>78</v>
      </c>
      <c r="G341">
        <v>6.92</v>
      </c>
      <c r="H341">
        <v>0.05</v>
      </c>
      <c r="I341">
        <v>0.82</v>
      </c>
      <c r="J341">
        <v>4.5599999999999996</v>
      </c>
      <c r="K341">
        <v>0</v>
      </c>
      <c r="L341">
        <v>25.38</v>
      </c>
      <c r="M341">
        <f t="shared" si="10"/>
        <v>3.9000000000000004</v>
      </c>
      <c r="N341">
        <f t="shared" si="11"/>
        <v>63.959999999999994</v>
      </c>
    </row>
    <row r="342" spans="1:14" x14ac:dyDescent="0.35">
      <c r="A342" t="s">
        <v>35</v>
      </c>
      <c r="B342" t="s">
        <v>26</v>
      </c>
      <c r="C342" t="s">
        <v>23</v>
      </c>
      <c r="D342" t="s">
        <v>17</v>
      </c>
      <c r="E342" t="s">
        <v>16</v>
      </c>
      <c r="F342">
        <v>72</v>
      </c>
      <c r="G342">
        <v>7.84</v>
      </c>
      <c r="H342">
        <v>0.06</v>
      </c>
      <c r="I342">
        <v>0.8</v>
      </c>
      <c r="J342">
        <v>4.53</v>
      </c>
      <c r="K342">
        <v>0</v>
      </c>
      <c r="L342">
        <v>26.76</v>
      </c>
      <c r="M342">
        <f t="shared" si="10"/>
        <v>4.32</v>
      </c>
      <c r="N342">
        <f t="shared" si="11"/>
        <v>57.6</v>
      </c>
    </row>
    <row r="343" spans="1:14" x14ac:dyDescent="0.35">
      <c r="A343" t="s">
        <v>35</v>
      </c>
      <c r="B343" t="s">
        <v>26</v>
      </c>
      <c r="C343" t="s">
        <v>23</v>
      </c>
      <c r="D343" t="s">
        <v>18</v>
      </c>
      <c r="E343" t="s">
        <v>21</v>
      </c>
      <c r="F343">
        <v>32</v>
      </c>
      <c r="G343">
        <v>5.25</v>
      </c>
      <c r="H343">
        <v>0.08</v>
      </c>
      <c r="I343">
        <v>0.74</v>
      </c>
      <c r="J343">
        <v>4.49</v>
      </c>
      <c r="K343">
        <v>0</v>
      </c>
      <c r="L343">
        <v>22.88</v>
      </c>
      <c r="M343">
        <f t="shared" si="10"/>
        <v>2.56</v>
      </c>
      <c r="N343">
        <f t="shared" si="11"/>
        <v>23.68</v>
      </c>
    </row>
    <row r="344" spans="1:14" x14ac:dyDescent="0.35">
      <c r="A344" t="s">
        <v>35</v>
      </c>
      <c r="B344" t="s">
        <v>26</v>
      </c>
      <c r="C344" t="s">
        <v>24</v>
      </c>
      <c r="D344" t="s">
        <v>15</v>
      </c>
      <c r="E344" t="s">
        <v>21</v>
      </c>
      <c r="F344">
        <v>61</v>
      </c>
      <c r="G344">
        <v>7.3</v>
      </c>
      <c r="H344">
        <v>0.11</v>
      </c>
      <c r="I344">
        <v>0.85</v>
      </c>
      <c r="J344">
        <v>3.99</v>
      </c>
      <c r="K344">
        <v>0</v>
      </c>
      <c r="L344">
        <v>25.95</v>
      </c>
      <c r="M344">
        <f t="shared" si="10"/>
        <v>6.71</v>
      </c>
      <c r="N344">
        <f t="shared" si="11"/>
        <v>51.85</v>
      </c>
    </row>
    <row r="345" spans="1:14" x14ac:dyDescent="0.35">
      <c r="A345" t="s">
        <v>35</v>
      </c>
      <c r="B345" t="s">
        <v>26</v>
      </c>
      <c r="C345" t="s">
        <v>24</v>
      </c>
      <c r="D345" t="s">
        <v>17</v>
      </c>
      <c r="E345" t="s">
        <v>16</v>
      </c>
      <c r="F345">
        <v>33</v>
      </c>
      <c r="G345">
        <v>4.34</v>
      </c>
      <c r="H345">
        <v>0.03</v>
      </c>
      <c r="I345">
        <v>0.86</v>
      </c>
      <c r="J345">
        <v>4.7300000000000004</v>
      </c>
      <c r="K345">
        <v>0</v>
      </c>
      <c r="L345">
        <v>21.51</v>
      </c>
      <c r="M345">
        <f t="shared" si="10"/>
        <v>0.99</v>
      </c>
      <c r="N345">
        <f t="shared" si="11"/>
        <v>28.38</v>
      </c>
    </row>
    <row r="346" spans="1:14" x14ac:dyDescent="0.35">
      <c r="A346" t="s">
        <v>35</v>
      </c>
      <c r="B346" t="s">
        <v>26</v>
      </c>
      <c r="C346" t="s">
        <v>24</v>
      </c>
      <c r="D346" t="s">
        <v>18</v>
      </c>
      <c r="E346" t="s">
        <v>16</v>
      </c>
      <c r="F346">
        <v>47</v>
      </c>
      <c r="G346">
        <v>4.59</v>
      </c>
      <c r="H346">
        <v>0.03</v>
      </c>
      <c r="I346">
        <v>0.7</v>
      </c>
      <c r="J346">
        <v>3.9</v>
      </c>
      <c r="K346">
        <v>1</v>
      </c>
      <c r="L346">
        <v>23.88</v>
      </c>
      <c r="M346">
        <f t="shared" si="10"/>
        <v>1.41</v>
      </c>
      <c r="N346">
        <f t="shared" si="11"/>
        <v>32.9</v>
      </c>
    </row>
    <row r="347" spans="1:14" x14ac:dyDescent="0.35">
      <c r="A347" t="s">
        <v>35</v>
      </c>
      <c r="B347" t="s">
        <v>27</v>
      </c>
      <c r="C347" t="s">
        <v>14</v>
      </c>
      <c r="D347" t="s">
        <v>15</v>
      </c>
      <c r="E347" t="s">
        <v>16</v>
      </c>
      <c r="F347">
        <v>63</v>
      </c>
      <c r="G347">
        <v>7.21</v>
      </c>
      <c r="H347">
        <v>0.13</v>
      </c>
      <c r="I347">
        <v>0.84</v>
      </c>
      <c r="J347">
        <v>4.2300000000000004</v>
      </c>
      <c r="K347">
        <v>0</v>
      </c>
      <c r="L347">
        <v>25.82</v>
      </c>
      <c r="M347">
        <f t="shared" si="10"/>
        <v>8.19</v>
      </c>
      <c r="N347">
        <f t="shared" si="11"/>
        <v>52.919999999999995</v>
      </c>
    </row>
    <row r="348" spans="1:14" x14ac:dyDescent="0.35">
      <c r="A348" t="s">
        <v>35</v>
      </c>
      <c r="B348" t="s">
        <v>27</v>
      </c>
      <c r="C348" t="s">
        <v>14</v>
      </c>
      <c r="D348" t="s">
        <v>17</v>
      </c>
      <c r="E348" t="s">
        <v>19</v>
      </c>
      <c r="F348">
        <v>79</v>
      </c>
      <c r="G348">
        <v>5.53</v>
      </c>
      <c r="H348">
        <v>0.18</v>
      </c>
      <c r="I348">
        <v>0.89</v>
      </c>
      <c r="J348">
        <v>4</v>
      </c>
      <c r="K348">
        <v>0</v>
      </c>
      <c r="L348">
        <v>23.3</v>
      </c>
      <c r="M348">
        <f t="shared" si="10"/>
        <v>14.219999999999999</v>
      </c>
      <c r="N348">
        <f t="shared" si="11"/>
        <v>70.31</v>
      </c>
    </row>
    <row r="349" spans="1:14" x14ac:dyDescent="0.35">
      <c r="A349" t="s">
        <v>35</v>
      </c>
      <c r="B349" t="s">
        <v>27</v>
      </c>
      <c r="C349" t="s">
        <v>14</v>
      </c>
      <c r="D349" t="s">
        <v>18</v>
      </c>
      <c r="E349" t="s">
        <v>19</v>
      </c>
      <c r="F349">
        <v>56</v>
      </c>
      <c r="G349">
        <v>5.99</v>
      </c>
      <c r="H349">
        <v>0.09</v>
      </c>
      <c r="I349">
        <v>0.61</v>
      </c>
      <c r="J349">
        <v>4.4800000000000004</v>
      </c>
      <c r="K349">
        <v>0</v>
      </c>
      <c r="L349">
        <v>23.98</v>
      </c>
      <c r="M349">
        <f t="shared" si="10"/>
        <v>5.04</v>
      </c>
      <c r="N349">
        <f t="shared" si="11"/>
        <v>34.159999999999997</v>
      </c>
    </row>
    <row r="350" spans="1:14" x14ac:dyDescent="0.35">
      <c r="A350" t="s">
        <v>35</v>
      </c>
      <c r="B350" t="s">
        <v>27</v>
      </c>
      <c r="C350" t="s">
        <v>20</v>
      </c>
      <c r="D350" t="s">
        <v>15</v>
      </c>
      <c r="E350" t="s">
        <v>19</v>
      </c>
      <c r="F350">
        <v>66</v>
      </c>
      <c r="G350">
        <v>5.59</v>
      </c>
      <c r="H350">
        <v>0.14000000000000001</v>
      </c>
      <c r="I350">
        <v>0.82</v>
      </c>
      <c r="J350">
        <v>4.08</v>
      </c>
      <c r="K350">
        <v>3</v>
      </c>
      <c r="L350">
        <v>29.38</v>
      </c>
      <c r="M350">
        <f t="shared" si="10"/>
        <v>9.24</v>
      </c>
      <c r="N350">
        <f t="shared" si="11"/>
        <v>54.12</v>
      </c>
    </row>
    <row r="351" spans="1:14" x14ac:dyDescent="0.35">
      <c r="A351" t="s">
        <v>35</v>
      </c>
      <c r="B351" t="s">
        <v>27</v>
      </c>
      <c r="C351" t="s">
        <v>20</v>
      </c>
      <c r="D351" t="s">
        <v>17</v>
      </c>
      <c r="E351" t="s">
        <v>16</v>
      </c>
      <c r="F351">
        <v>58</v>
      </c>
      <c r="G351">
        <v>7.07</v>
      </c>
      <c r="H351">
        <v>0.06</v>
      </c>
      <c r="I351">
        <v>0.89</v>
      </c>
      <c r="J351">
        <v>4.01</v>
      </c>
      <c r="K351">
        <v>0</v>
      </c>
      <c r="L351">
        <v>25.6</v>
      </c>
      <c r="M351">
        <f t="shared" si="10"/>
        <v>3.48</v>
      </c>
      <c r="N351">
        <f t="shared" si="11"/>
        <v>51.62</v>
      </c>
    </row>
    <row r="352" spans="1:14" x14ac:dyDescent="0.35">
      <c r="A352" t="s">
        <v>35</v>
      </c>
      <c r="B352" t="s">
        <v>27</v>
      </c>
      <c r="C352" t="s">
        <v>20</v>
      </c>
      <c r="D352" t="s">
        <v>18</v>
      </c>
      <c r="E352" t="s">
        <v>16</v>
      </c>
      <c r="F352">
        <v>33</v>
      </c>
      <c r="G352">
        <v>5.98</v>
      </c>
      <c r="H352">
        <v>0.09</v>
      </c>
      <c r="I352">
        <v>0.64</v>
      </c>
      <c r="J352">
        <v>3.82</v>
      </c>
      <c r="K352">
        <v>2</v>
      </c>
      <c r="L352">
        <v>27.97</v>
      </c>
      <c r="M352">
        <f t="shared" si="10"/>
        <v>2.9699999999999998</v>
      </c>
      <c r="N352">
        <f t="shared" si="11"/>
        <v>21.12</v>
      </c>
    </row>
    <row r="353" spans="1:14" x14ac:dyDescent="0.35">
      <c r="A353" t="s">
        <v>35</v>
      </c>
      <c r="B353" t="s">
        <v>27</v>
      </c>
      <c r="C353" t="s">
        <v>22</v>
      </c>
      <c r="D353" t="s">
        <v>15</v>
      </c>
      <c r="E353" t="s">
        <v>16</v>
      </c>
      <c r="F353">
        <v>63</v>
      </c>
      <c r="G353">
        <v>6.4</v>
      </c>
      <c r="H353">
        <v>0.05</v>
      </c>
      <c r="I353">
        <v>0.78</v>
      </c>
      <c r="J353">
        <v>3.57</v>
      </c>
      <c r="K353">
        <v>0</v>
      </c>
      <c r="L353">
        <v>24.6</v>
      </c>
      <c r="M353">
        <f t="shared" si="10"/>
        <v>3.1500000000000004</v>
      </c>
      <c r="N353">
        <f t="shared" si="11"/>
        <v>49.14</v>
      </c>
    </row>
    <row r="354" spans="1:14" x14ac:dyDescent="0.35">
      <c r="A354" t="s">
        <v>35</v>
      </c>
      <c r="B354" t="s">
        <v>27</v>
      </c>
      <c r="C354" t="s">
        <v>22</v>
      </c>
      <c r="D354" t="s">
        <v>17</v>
      </c>
      <c r="E354" t="s">
        <v>19</v>
      </c>
      <c r="F354">
        <v>73</v>
      </c>
      <c r="G354">
        <v>6.17</v>
      </c>
      <c r="H354">
        <v>0.09</v>
      </c>
      <c r="I354">
        <v>0.84</v>
      </c>
      <c r="J354">
        <v>4.8</v>
      </c>
      <c r="K354">
        <v>0</v>
      </c>
      <c r="L354">
        <v>24.26</v>
      </c>
      <c r="M354">
        <f t="shared" si="10"/>
        <v>6.5699999999999994</v>
      </c>
      <c r="N354">
        <f t="shared" si="11"/>
        <v>61.32</v>
      </c>
    </row>
    <row r="355" spans="1:14" x14ac:dyDescent="0.35">
      <c r="A355" t="s">
        <v>35</v>
      </c>
      <c r="B355" t="s">
        <v>27</v>
      </c>
      <c r="C355" t="s">
        <v>22</v>
      </c>
      <c r="D355" t="s">
        <v>18</v>
      </c>
      <c r="E355" t="s">
        <v>21</v>
      </c>
      <c r="F355">
        <v>65</v>
      </c>
      <c r="G355">
        <v>7.26</v>
      </c>
      <c r="H355">
        <v>7.0000000000000007E-2</v>
      </c>
      <c r="I355">
        <v>0.85</v>
      </c>
      <c r="J355">
        <v>4.6399999999999997</v>
      </c>
      <c r="K355">
        <v>1</v>
      </c>
      <c r="L355">
        <v>27.89</v>
      </c>
      <c r="M355">
        <f t="shared" si="10"/>
        <v>4.5500000000000007</v>
      </c>
      <c r="N355">
        <f t="shared" si="11"/>
        <v>55.25</v>
      </c>
    </row>
    <row r="356" spans="1:14" x14ac:dyDescent="0.35">
      <c r="A356" t="s">
        <v>35</v>
      </c>
      <c r="B356" t="s">
        <v>27</v>
      </c>
      <c r="C356" t="s">
        <v>23</v>
      </c>
      <c r="D356" t="s">
        <v>15</v>
      </c>
      <c r="E356" t="s">
        <v>16</v>
      </c>
      <c r="F356">
        <v>48</v>
      </c>
      <c r="G356">
        <v>5.55</v>
      </c>
      <c r="H356">
        <v>0.03</v>
      </c>
      <c r="I356">
        <v>0.82</v>
      </c>
      <c r="J356">
        <v>4.21</v>
      </c>
      <c r="K356">
        <v>0</v>
      </c>
      <c r="L356">
        <v>23.32</v>
      </c>
      <c r="M356">
        <f t="shared" si="10"/>
        <v>1.44</v>
      </c>
      <c r="N356">
        <f t="shared" si="11"/>
        <v>39.36</v>
      </c>
    </row>
    <row r="357" spans="1:14" x14ac:dyDescent="0.35">
      <c r="A357" t="s">
        <v>35</v>
      </c>
      <c r="B357" t="s">
        <v>27</v>
      </c>
      <c r="C357" t="s">
        <v>23</v>
      </c>
      <c r="D357" t="s">
        <v>17</v>
      </c>
      <c r="E357" t="s">
        <v>21</v>
      </c>
      <c r="F357">
        <v>63</v>
      </c>
      <c r="G357">
        <v>4.72</v>
      </c>
      <c r="H357">
        <v>0.11</v>
      </c>
      <c r="I357">
        <v>0.83</v>
      </c>
      <c r="J357">
        <v>4.63</v>
      </c>
      <c r="K357">
        <v>0</v>
      </c>
      <c r="L357">
        <v>22.08</v>
      </c>
      <c r="M357">
        <f t="shared" si="10"/>
        <v>6.93</v>
      </c>
      <c r="N357">
        <f t="shared" si="11"/>
        <v>52.29</v>
      </c>
    </row>
    <row r="358" spans="1:14" x14ac:dyDescent="0.35">
      <c r="A358" t="s">
        <v>35</v>
      </c>
      <c r="B358" t="s">
        <v>27</v>
      </c>
      <c r="C358" t="s">
        <v>23</v>
      </c>
      <c r="D358" t="s">
        <v>18</v>
      </c>
      <c r="E358" t="s">
        <v>21</v>
      </c>
      <c r="F358">
        <v>57</v>
      </c>
      <c r="G358">
        <v>6.16</v>
      </c>
      <c r="H358">
        <v>0.08</v>
      </c>
      <c r="I358">
        <v>0.61</v>
      </c>
      <c r="J358">
        <v>4.76</v>
      </c>
      <c r="K358">
        <v>2</v>
      </c>
      <c r="L358">
        <v>28.24</v>
      </c>
      <c r="M358">
        <f t="shared" si="10"/>
        <v>4.5600000000000005</v>
      </c>
      <c r="N358">
        <f t="shared" si="11"/>
        <v>34.769999999999996</v>
      </c>
    </row>
    <row r="359" spans="1:14" x14ac:dyDescent="0.35">
      <c r="A359" t="s">
        <v>35</v>
      </c>
      <c r="B359" t="s">
        <v>27</v>
      </c>
      <c r="C359" t="s">
        <v>24</v>
      </c>
      <c r="D359" t="s">
        <v>15</v>
      </c>
      <c r="E359" t="s">
        <v>16</v>
      </c>
      <c r="F359">
        <v>73</v>
      </c>
      <c r="G359">
        <v>5.61</v>
      </c>
      <c r="H359">
        <v>0.08</v>
      </c>
      <c r="I359">
        <v>0.88</v>
      </c>
      <c r="J359">
        <v>4.2699999999999996</v>
      </c>
      <c r="K359">
        <v>0</v>
      </c>
      <c r="L359">
        <v>23.42</v>
      </c>
      <c r="M359">
        <f t="shared" si="10"/>
        <v>5.84</v>
      </c>
      <c r="N359">
        <f t="shared" si="11"/>
        <v>64.239999999999995</v>
      </c>
    </row>
    <row r="360" spans="1:14" x14ac:dyDescent="0.35">
      <c r="A360" t="s">
        <v>35</v>
      </c>
      <c r="B360" t="s">
        <v>27</v>
      </c>
      <c r="C360" t="s">
        <v>24</v>
      </c>
      <c r="D360" t="s">
        <v>17</v>
      </c>
      <c r="E360" t="s">
        <v>19</v>
      </c>
      <c r="F360">
        <v>62</v>
      </c>
      <c r="G360">
        <v>4.1900000000000004</v>
      </c>
      <c r="H360">
        <v>0.2</v>
      </c>
      <c r="I360">
        <v>0.89</v>
      </c>
      <c r="J360">
        <v>3.97</v>
      </c>
      <c r="K360">
        <v>1</v>
      </c>
      <c r="L360">
        <v>23.28</v>
      </c>
      <c r="M360">
        <f t="shared" si="10"/>
        <v>12.4</v>
      </c>
      <c r="N360">
        <f t="shared" si="11"/>
        <v>55.18</v>
      </c>
    </row>
    <row r="361" spans="1:14" x14ac:dyDescent="0.35">
      <c r="A361" t="s">
        <v>35</v>
      </c>
      <c r="B361" t="s">
        <v>27</v>
      </c>
      <c r="C361" t="s">
        <v>24</v>
      </c>
      <c r="D361" t="s">
        <v>18</v>
      </c>
      <c r="E361" t="s">
        <v>21</v>
      </c>
      <c r="F361">
        <v>56</v>
      </c>
      <c r="G361">
        <v>7.94</v>
      </c>
      <c r="H361">
        <v>7.0000000000000007E-2</v>
      </c>
      <c r="I361">
        <v>0.81</v>
      </c>
      <c r="J361">
        <v>4.49</v>
      </c>
      <c r="K361">
        <v>0</v>
      </c>
      <c r="L361">
        <v>26.91</v>
      </c>
      <c r="M361">
        <f t="shared" si="10"/>
        <v>3.9200000000000004</v>
      </c>
      <c r="N361">
        <f t="shared" si="11"/>
        <v>45.36</v>
      </c>
    </row>
    <row r="362" spans="1:14" x14ac:dyDescent="0.35">
      <c r="A362" t="s">
        <v>35</v>
      </c>
      <c r="B362" t="s">
        <v>28</v>
      </c>
      <c r="C362" t="s">
        <v>14</v>
      </c>
      <c r="D362" t="s">
        <v>15</v>
      </c>
      <c r="E362" t="s">
        <v>21</v>
      </c>
      <c r="F362">
        <v>77</v>
      </c>
      <c r="G362">
        <v>4.9800000000000004</v>
      </c>
      <c r="H362">
        <v>0.06</v>
      </c>
      <c r="I362">
        <v>0.79</v>
      </c>
      <c r="J362">
        <v>3.54</v>
      </c>
      <c r="K362">
        <v>3</v>
      </c>
      <c r="L362">
        <v>28.47</v>
      </c>
      <c r="M362">
        <f t="shared" si="10"/>
        <v>4.62</v>
      </c>
      <c r="N362">
        <f t="shared" si="11"/>
        <v>60.830000000000005</v>
      </c>
    </row>
    <row r="363" spans="1:14" x14ac:dyDescent="0.35">
      <c r="A363" t="s">
        <v>35</v>
      </c>
      <c r="B363" t="s">
        <v>28</v>
      </c>
      <c r="C363" t="s">
        <v>14</v>
      </c>
      <c r="D363" t="s">
        <v>17</v>
      </c>
      <c r="E363" t="s">
        <v>19</v>
      </c>
      <c r="F363">
        <v>45</v>
      </c>
      <c r="G363">
        <v>5.21</v>
      </c>
      <c r="H363">
        <v>0.24</v>
      </c>
      <c r="I363">
        <v>0.89</v>
      </c>
      <c r="J363">
        <v>3.54</v>
      </c>
      <c r="K363">
        <v>2</v>
      </c>
      <c r="L363">
        <v>26.82</v>
      </c>
      <c r="M363">
        <f t="shared" si="10"/>
        <v>10.799999999999999</v>
      </c>
      <c r="N363">
        <f t="shared" si="11"/>
        <v>40.049999999999997</v>
      </c>
    </row>
    <row r="364" spans="1:14" x14ac:dyDescent="0.35">
      <c r="A364" t="s">
        <v>35</v>
      </c>
      <c r="B364" t="s">
        <v>28</v>
      </c>
      <c r="C364" t="s">
        <v>14</v>
      </c>
      <c r="D364" t="s">
        <v>18</v>
      </c>
      <c r="E364" t="s">
        <v>16</v>
      </c>
      <c r="F364">
        <v>50</v>
      </c>
      <c r="G364">
        <v>7.15</v>
      </c>
      <c r="H364">
        <v>0.06</v>
      </c>
      <c r="I364">
        <v>0.65</v>
      </c>
      <c r="J364">
        <v>4.74</v>
      </c>
      <c r="K364">
        <v>0</v>
      </c>
      <c r="L364">
        <v>25.72</v>
      </c>
      <c r="M364">
        <f t="shared" si="10"/>
        <v>3</v>
      </c>
      <c r="N364">
        <f t="shared" si="11"/>
        <v>32.5</v>
      </c>
    </row>
    <row r="365" spans="1:14" x14ac:dyDescent="0.35">
      <c r="A365" t="s">
        <v>35</v>
      </c>
      <c r="B365" t="s">
        <v>28</v>
      </c>
      <c r="C365" t="s">
        <v>20</v>
      </c>
      <c r="D365" t="s">
        <v>15</v>
      </c>
      <c r="E365" t="s">
        <v>21</v>
      </c>
      <c r="F365">
        <v>37</v>
      </c>
      <c r="G365">
        <v>5.47</v>
      </c>
      <c r="H365">
        <v>0.15</v>
      </c>
      <c r="I365">
        <v>0.76</v>
      </c>
      <c r="J365">
        <v>3.5</v>
      </c>
      <c r="K365">
        <v>0</v>
      </c>
      <c r="L365">
        <v>23.2</v>
      </c>
      <c r="M365">
        <f t="shared" si="10"/>
        <v>5.55</v>
      </c>
      <c r="N365">
        <f t="shared" si="11"/>
        <v>28.12</v>
      </c>
    </row>
    <row r="366" spans="1:14" x14ac:dyDescent="0.35">
      <c r="A366" t="s">
        <v>35</v>
      </c>
      <c r="B366" t="s">
        <v>28</v>
      </c>
      <c r="C366" t="s">
        <v>20</v>
      </c>
      <c r="D366" t="s">
        <v>17</v>
      </c>
      <c r="E366" t="s">
        <v>16</v>
      </c>
      <c r="F366">
        <v>66</v>
      </c>
      <c r="G366">
        <v>5.36</v>
      </c>
      <c r="H366">
        <v>0.12</v>
      </c>
      <c r="I366">
        <v>0.87</v>
      </c>
      <c r="J366">
        <v>4.3600000000000003</v>
      </c>
      <c r="K366">
        <v>1</v>
      </c>
      <c r="L366">
        <v>25.04</v>
      </c>
      <c r="M366">
        <f t="shared" si="10"/>
        <v>7.92</v>
      </c>
      <c r="N366">
        <f t="shared" si="11"/>
        <v>57.42</v>
      </c>
    </row>
    <row r="367" spans="1:14" x14ac:dyDescent="0.35">
      <c r="A367" t="s">
        <v>35</v>
      </c>
      <c r="B367" t="s">
        <v>28</v>
      </c>
      <c r="C367" t="s">
        <v>20</v>
      </c>
      <c r="D367" t="s">
        <v>18</v>
      </c>
      <c r="E367" t="s">
        <v>21</v>
      </c>
      <c r="F367">
        <v>31</v>
      </c>
      <c r="G367">
        <v>6.43</v>
      </c>
      <c r="H367">
        <v>0.03</v>
      </c>
      <c r="I367">
        <v>0.7</v>
      </c>
      <c r="J367">
        <v>4.4400000000000004</v>
      </c>
      <c r="K367">
        <v>0</v>
      </c>
      <c r="L367">
        <v>24.64</v>
      </c>
      <c r="M367">
        <f t="shared" si="10"/>
        <v>0.92999999999999994</v>
      </c>
      <c r="N367">
        <f t="shared" si="11"/>
        <v>21.7</v>
      </c>
    </row>
    <row r="368" spans="1:14" x14ac:dyDescent="0.35">
      <c r="A368" t="s">
        <v>35</v>
      </c>
      <c r="B368" t="s">
        <v>28</v>
      </c>
      <c r="C368" t="s">
        <v>22</v>
      </c>
      <c r="D368" t="s">
        <v>15</v>
      </c>
      <c r="E368" t="s">
        <v>16</v>
      </c>
      <c r="F368">
        <v>60</v>
      </c>
      <c r="G368">
        <v>5.81</v>
      </c>
      <c r="H368">
        <v>0.03</v>
      </c>
      <c r="I368">
        <v>0.87</v>
      </c>
      <c r="J368">
        <v>4.7300000000000004</v>
      </c>
      <c r="K368">
        <v>0</v>
      </c>
      <c r="L368">
        <v>23.72</v>
      </c>
      <c r="M368">
        <f t="shared" si="10"/>
        <v>1.7999999999999998</v>
      </c>
      <c r="N368">
        <f t="shared" si="11"/>
        <v>52.2</v>
      </c>
    </row>
    <row r="369" spans="1:14" x14ac:dyDescent="0.35">
      <c r="A369" t="s">
        <v>35</v>
      </c>
      <c r="B369" t="s">
        <v>28</v>
      </c>
      <c r="C369" t="s">
        <v>22</v>
      </c>
      <c r="D369" t="s">
        <v>17</v>
      </c>
      <c r="E369" t="s">
        <v>21</v>
      </c>
      <c r="F369">
        <v>67</v>
      </c>
      <c r="G369">
        <v>5.45</v>
      </c>
      <c r="H369">
        <v>0.06</v>
      </c>
      <c r="I369">
        <v>0.76</v>
      </c>
      <c r="J369">
        <v>4.1500000000000004</v>
      </c>
      <c r="K369">
        <v>1</v>
      </c>
      <c r="L369">
        <v>25.18</v>
      </c>
      <c r="M369">
        <f t="shared" si="10"/>
        <v>4.0199999999999996</v>
      </c>
      <c r="N369">
        <f t="shared" si="11"/>
        <v>50.92</v>
      </c>
    </row>
    <row r="370" spans="1:14" x14ac:dyDescent="0.35">
      <c r="A370" t="s">
        <v>35</v>
      </c>
      <c r="B370" t="s">
        <v>28</v>
      </c>
      <c r="C370" t="s">
        <v>22</v>
      </c>
      <c r="D370" t="s">
        <v>18</v>
      </c>
      <c r="E370" t="s">
        <v>21</v>
      </c>
      <c r="F370">
        <v>31</v>
      </c>
      <c r="G370">
        <v>5.84</v>
      </c>
      <c r="H370">
        <v>0.06</v>
      </c>
      <c r="I370">
        <v>0.66</v>
      </c>
      <c r="J370">
        <v>3.87</v>
      </c>
      <c r="K370">
        <v>2</v>
      </c>
      <c r="L370">
        <v>27.76</v>
      </c>
      <c r="M370">
        <f t="shared" si="10"/>
        <v>1.8599999999999999</v>
      </c>
      <c r="N370">
        <f t="shared" si="11"/>
        <v>20.46</v>
      </c>
    </row>
    <row r="371" spans="1:14" x14ac:dyDescent="0.35">
      <c r="A371" t="s">
        <v>35</v>
      </c>
      <c r="B371" t="s">
        <v>28</v>
      </c>
      <c r="C371" t="s">
        <v>23</v>
      </c>
      <c r="D371" t="s">
        <v>15</v>
      </c>
      <c r="E371" t="s">
        <v>21</v>
      </c>
      <c r="F371">
        <v>56</v>
      </c>
      <c r="G371">
        <v>5.29</v>
      </c>
      <c r="H371">
        <v>0.02</v>
      </c>
      <c r="I371">
        <v>0.84</v>
      </c>
      <c r="J371">
        <v>4.59</v>
      </c>
      <c r="K371">
        <v>0</v>
      </c>
      <c r="L371">
        <v>22.94</v>
      </c>
      <c r="M371">
        <f t="shared" si="10"/>
        <v>1.1200000000000001</v>
      </c>
      <c r="N371">
        <f t="shared" si="11"/>
        <v>47.04</v>
      </c>
    </row>
    <row r="372" spans="1:14" x14ac:dyDescent="0.35">
      <c r="A372" t="s">
        <v>35</v>
      </c>
      <c r="B372" t="s">
        <v>28</v>
      </c>
      <c r="C372" t="s">
        <v>23</v>
      </c>
      <c r="D372" t="s">
        <v>17</v>
      </c>
      <c r="E372" t="s">
        <v>19</v>
      </c>
      <c r="F372">
        <v>42</v>
      </c>
      <c r="G372">
        <v>4.3499999999999996</v>
      </c>
      <c r="H372">
        <v>0.21</v>
      </c>
      <c r="I372">
        <v>0.77</v>
      </c>
      <c r="J372">
        <v>4.66</v>
      </c>
      <c r="K372">
        <v>0</v>
      </c>
      <c r="L372">
        <v>21.52</v>
      </c>
      <c r="M372">
        <f t="shared" si="10"/>
        <v>8.82</v>
      </c>
      <c r="N372">
        <f t="shared" si="11"/>
        <v>32.340000000000003</v>
      </c>
    </row>
    <row r="373" spans="1:14" x14ac:dyDescent="0.35">
      <c r="A373" t="s">
        <v>35</v>
      </c>
      <c r="B373" t="s">
        <v>28</v>
      </c>
      <c r="C373" t="s">
        <v>23</v>
      </c>
      <c r="D373" t="s">
        <v>18</v>
      </c>
      <c r="E373" t="s">
        <v>16</v>
      </c>
      <c r="F373">
        <v>39</v>
      </c>
      <c r="G373">
        <v>7.2</v>
      </c>
      <c r="H373">
        <v>0.13</v>
      </c>
      <c r="I373">
        <v>0.74</v>
      </c>
      <c r="J373">
        <v>4.33</v>
      </c>
      <c r="K373">
        <v>0</v>
      </c>
      <c r="L373">
        <v>25.8</v>
      </c>
      <c r="M373">
        <f t="shared" si="10"/>
        <v>5.07</v>
      </c>
      <c r="N373">
        <f t="shared" si="11"/>
        <v>28.86</v>
      </c>
    </row>
    <row r="374" spans="1:14" x14ac:dyDescent="0.35">
      <c r="A374" t="s">
        <v>35</v>
      </c>
      <c r="B374" t="s">
        <v>28</v>
      </c>
      <c r="C374" t="s">
        <v>24</v>
      </c>
      <c r="D374" t="s">
        <v>15</v>
      </c>
      <c r="E374" t="s">
        <v>16</v>
      </c>
      <c r="F374">
        <v>75</v>
      </c>
      <c r="G374">
        <v>6.48</v>
      </c>
      <c r="H374">
        <v>0.09</v>
      </c>
      <c r="I374">
        <v>0.83</v>
      </c>
      <c r="J374">
        <v>3.69</v>
      </c>
      <c r="K374">
        <v>1</v>
      </c>
      <c r="L374">
        <v>26.72</v>
      </c>
      <c r="M374">
        <f t="shared" si="10"/>
        <v>6.75</v>
      </c>
      <c r="N374">
        <f t="shared" si="11"/>
        <v>62.25</v>
      </c>
    </row>
    <row r="375" spans="1:14" x14ac:dyDescent="0.35">
      <c r="A375" t="s">
        <v>35</v>
      </c>
      <c r="B375" t="s">
        <v>28</v>
      </c>
      <c r="C375" t="s">
        <v>24</v>
      </c>
      <c r="D375" t="s">
        <v>17</v>
      </c>
      <c r="E375" t="s">
        <v>19</v>
      </c>
      <c r="F375">
        <v>60</v>
      </c>
      <c r="G375">
        <v>6.51</v>
      </c>
      <c r="H375">
        <v>0.12</v>
      </c>
      <c r="I375">
        <v>0.77</v>
      </c>
      <c r="J375">
        <v>4.32</v>
      </c>
      <c r="K375">
        <v>0</v>
      </c>
      <c r="L375">
        <v>24.76</v>
      </c>
      <c r="M375">
        <f t="shared" si="10"/>
        <v>7.1999999999999993</v>
      </c>
      <c r="N375">
        <f t="shared" si="11"/>
        <v>46.2</v>
      </c>
    </row>
    <row r="376" spans="1:14" x14ac:dyDescent="0.35">
      <c r="A376" t="s">
        <v>35</v>
      </c>
      <c r="B376" t="s">
        <v>28</v>
      </c>
      <c r="C376" t="s">
        <v>24</v>
      </c>
      <c r="D376" t="s">
        <v>18</v>
      </c>
      <c r="E376" t="s">
        <v>21</v>
      </c>
      <c r="F376">
        <v>44</v>
      </c>
      <c r="G376">
        <v>6.71</v>
      </c>
      <c r="H376">
        <v>0.1</v>
      </c>
      <c r="I376">
        <v>0.82</v>
      </c>
      <c r="J376">
        <v>4.26</v>
      </c>
      <c r="K376">
        <v>0</v>
      </c>
      <c r="L376">
        <v>25.06</v>
      </c>
      <c r="M376">
        <f t="shared" si="10"/>
        <v>4.4000000000000004</v>
      </c>
      <c r="N376">
        <f t="shared" si="11"/>
        <v>36.08</v>
      </c>
    </row>
    <row r="377" spans="1:14" x14ac:dyDescent="0.35">
      <c r="A377" t="s">
        <v>35</v>
      </c>
      <c r="B377" t="s">
        <v>29</v>
      </c>
      <c r="C377" t="s">
        <v>14</v>
      </c>
      <c r="D377" t="s">
        <v>15</v>
      </c>
      <c r="E377" t="s">
        <v>16</v>
      </c>
      <c r="F377">
        <v>73</v>
      </c>
      <c r="G377">
        <v>6.93</v>
      </c>
      <c r="H377">
        <v>0.12</v>
      </c>
      <c r="I377">
        <v>0.8</v>
      </c>
      <c r="J377">
        <v>3.63</v>
      </c>
      <c r="K377">
        <v>0</v>
      </c>
      <c r="L377">
        <v>25.4</v>
      </c>
      <c r="M377">
        <f t="shared" si="10"/>
        <v>8.76</v>
      </c>
      <c r="N377">
        <f t="shared" si="11"/>
        <v>58.400000000000006</v>
      </c>
    </row>
    <row r="378" spans="1:14" x14ac:dyDescent="0.35">
      <c r="A378" t="s">
        <v>35</v>
      </c>
      <c r="B378" t="s">
        <v>29</v>
      </c>
      <c r="C378" t="s">
        <v>14</v>
      </c>
      <c r="D378" t="s">
        <v>17</v>
      </c>
      <c r="E378" t="s">
        <v>19</v>
      </c>
      <c r="F378">
        <v>56</v>
      </c>
      <c r="G378">
        <v>6.21</v>
      </c>
      <c r="H378">
        <v>0.28000000000000003</v>
      </c>
      <c r="I378">
        <v>0.89</v>
      </c>
      <c r="J378">
        <v>4.05</v>
      </c>
      <c r="K378">
        <v>0</v>
      </c>
      <c r="L378">
        <v>24.32</v>
      </c>
      <c r="M378">
        <f t="shared" si="10"/>
        <v>15.680000000000001</v>
      </c>
      <c r="N378">
        <f t="shared" si="11"/>
        <v>49.84</v>
      </c>
    </row>
    <row r="379" spans="1:14" x14ac:dyDescent="0.35">
      <c r="A379" t="s">
        <v>35</v>
      </c>
      <c r="B379" t="s">
        <v>29</v>
      </c>
      <c r="C379" t="s">
        <v>14</v>
      </c>
      <c r="D379" t="s">
        <v>18</v>
      </c>
      <c r="E379" t="s">
        <v>21</v>
      </c>
      <c r="F379">
        <v>66</v>
      </c>
      <c r="G379">
        <v>7.06</v>
      </c>
      <c r="H379">
        <v>0.04</v>
      </c>
      <c r="I379">
        <v>0.61</v>
      </c>
      <c r="J379">
        <v>4.2300000000000004</v>
      </c>
      <c r="K379">
        <v>2</v>
      </c>
      <c r="L379">
        <v>29.59</v>
      </c>
      <c r="M379">
        <f t="shared" si="10"/>
        <v>2.64</v>
      </c>
      <c r="N379">
        <f t="shared" si="11"/>
        <v>40.26</v>
      </c>
    </row>
    <row r="380" spans="1:14" x14ac:dyDescent="0.35">
      <c r="A380" t="s">
        <v>35</v>
      </c>
      <c r="B380" t="s">
        <v>29</v>
      </c>
      <c r="C380" t="s">
        <v>20</v>
      </c>
      <c r="D380" t="s">
        <v>15</v>
      </c>
      <c r="E380" t="s">
        <v>21</v>
      </c>
      <c r="F380">
        <v>39</v>
      </c>
      <c r="G380">
        <v>5.59</v>
      </c>
      <c r="H380">
        <v>0.13</v>
      </c>
      <c r="I380">
        <v>0.78</v>
      </c>
      <c r="J380">
        <v>3.86</v>
      </c>
      <c r="K380">
        <v>0</v>
      </c>
      <c r="L380">
        <v>23.38</v>
      </c>
      <c r="M380">
        <f t="shared" si="10"/>
        <v>5.07</v>
      </c>
      <c r="N380">
        <f t="shared" si="11"/>
        <v>30.42</v>
      </c>
    </row>
    <row r="381" spans="1:14" x14ac:dyDescent="0.35">
      <c r="A381" t="s">
        <v>35</v>
      </c>
      <c r="B381" t="s">
        <v>29</v>
      </c>
      <c r="C381" t="s">
        <v>20</v>
      </c>
      <c r="D381" t="s">
        <v>17</v>
      </c>
      <c r="E381" t="s">
        <v>16</v>
      </c>
      <c r="F381">
        <v>54</v>
      </c>
      <c r="G381">
        <v>5.39</v>
      </c>
      <c r="H381">
        <v>0.06</v>
      </c>
      <c r="I381">
        <v>0.77</v>
      </c>
      <c r="J381">
        <v>4.5199999999999996</v>
      </c>
      <c r="K381">
        <v>1</v>
      </c>
      <c r="L381">
        <v>25.08</v>
      </c>
      <c r="M381">
        <f t="shared" si="10"/>
        <v>3.2399999999999998</v>
      </c>
      <c r="N381">
        <f t="shared" si="11"/>
        <v>41.58</v>
      </c>
    </row>
    <row r="382" spans="1:14" x14ac:dyDescent="0.35">
      <c r="A382" t="s">
        <v>35</v>
      </c>
      <c r="B382" t="s">
        <v>29</v>
      </c>
      <c r="C382" t="s">
        <v>20</v>
      </c>
      <c r="D382" t="s">
        <v>18</v>
      </c>
      <c r="E382" t="s">
        <v>19</v>
      </c>
      <c r="F382">
        <v>66</v>
      </c>
      <c r="G382">
        <v>3.57</v>
      </c>
      <c r="H382">
        <v>0.27</v>
      </c>
      <c r="I382">
        <v>0.72</v>
      </c>
      <c r="J382">
        <v>3.64</v>
      </c>
      <c r="K382">
        <v>1</v>
      </c>
      <c r="L382">
        <v>22.36</v>
      </c>
      <c r="M382">
        <f t="shared" si="10"/>
        <v>17.82</v>
      </c>
      <c r="N382">
        <f t="shared" si="11"/>
        <v>47.519999999999996</v>
      </c>
    </row>
    <row r="383" spans="1:14" x14ac:dyDescent="0.35">
      <c r="A383" t="s">
        <v>35</v>
      </c>
      <c r="B383" t="s">
        <v>29</v>
      </c>
      <c r="C383" t="s">
        <v>22</v>
      </c>
      <c r="D383" t="s">
        <v>15</v>
      </c>
      <c r="E383" t="s">
        <v>21</v>
      </c>
      <c r="F383">
        <v>70</v>
      </c>
      <c r="G383">
        <v>5.97</v>
      </c>
      <c r="H383">
        <v>0.03</v>
      </c>
      <c r="I383">
        <v>0.87</v>
      </c>
      <c r="J383">
        <v>4.04</v>
      </c>
      <c r="K383">
        <v>2</v>
      </c>
      <c r="L383">
        <v>27.96</v>
      </c>
      <c r="M383">
        <f t="shared" si="10"/>
        <v>2.1</v>
      </c>
      <c r="N383">
        <f t="shared" si="11"/>
        <v>60.9</v>
      </c>
    </row>
    <row r="384" spans="1:14" x14ac:dyDescent="0.35">
      <c r="A384" t="s">
        <v>35</v>
      </c>
      <c r="B384" t="s">
        <v>29</v>
      </c>
      <c r="C384" t="s">
        <v>22</v>
      </c>
      <c r="D384" t="s">
        <v>17</v>
      </c>
      <c r="E384" t="s">
        <v>21</v>
      </c>
      <c r="F384">
        <v>45</v>
      </c>
      <c r="G384">
        <v>6.93</v>
      </c>
      <c r="H384">
        <v>0.11</v>
      </c>
      <c r="I384">
        <v>0.85</v>
      </c>
      <c r="J384">
        <v>4.54</v>
      </c>
      <c r="K384">
        <v>1</v>
      </c>
      <c r="L384">
        <v>27.4</v>
      </c>
      <c r="M384">
        <f t="shared" si="10"/>
        <v>4.95</v>
      </c>
      <c r="N384">
        <f t="shared" si="11"/>
        <v>38.25</v>
      </c>
    </row>
    <row r="385" spans="1:14" x14ac:dyDescent="0.35">
      <c r="A385" t="s">
        <v>35</v>
      </c>
      <c r="B385" t="s">
        <v>29</v>
      </c>
      <c r="C385" t="s">
        <v>22</v>
      </c>
      <c r="D385" t="s">
        <v>18</v>
      </c>
      <c r="E385" t="s">
        <v>19</v>
      </c>
      <c r="F385">
        <v>38</v>
      </c>
      <c r="G385">
        <v>5.67</v>
      </c>
      <c r="H385">
        <v>0.08</v>
      </c>
      <c r="I385">
        <v>0.76</v>
      </c>
      <c r="J385">
        <v>4.46</v>
      </c>
      <c r="K385">
        <v>0</v>
      </c>
      <c r="L385">
        <v>23.5</v>
      </c>
      <c r="M385">
        <f t="shared" si="10"/>
        <v>3.04</v>
      </c>
      <c r="N385">
        <f t="shared" si="11"/>
        <v>28.88</v>
      </c>
    </row>
    <row r="386" spans="1:14" x14ac:dyDescent="0.35">
      <c r="A386" t="s">
        <v>35</v>
      </c>
      <c r="B386" t="s">
        <v>29</v>
      </c>
      <c r="C386" t="s">
        <v>23</v>
      </c>
      <c r="D386" t="s">
        <v>15</v>
      </c>
      <c r="E386" t="s">
        <v>16</v>
      </c>
      <c r="F386">
        <v>50</v>
      </c>
      <c r="G386">
        <v>5.66</v>
      </c>
      <c r="H386">
        <v>0.1</v>
      </c>
      <c r="I386">
        <v>0.76</v>
      </c>
      <c r="J386">
        <v>3.56</v>
      </c>
      <c r="K386">
        <v>1</v>
      </c>
      <c r="L386">
        <v>25.49</v>
      </c>
      <c r="M386">
        <f t="shared" si="10"/>
        <v>5</v>
      </c>
      <c r="N386">
        <f t="shared" si="11"/>
        <v>38</v>
      </c>
    </row>
    <row r="387" spans="1:14" x14ac:dyDescent="0.35">
      <c r="A387" t="s">
        <v>35</v>
      </c>
      <c r="B387" t="s">
        <v>29</v>
      </c>
      <c r="C387" t="s">
        <v>23</v>
      </c>
      <c r="D387" t="s">
        <v>17</v>
      </c>
      <c r="E387" t="s">
        <v>21</v>
      </c>
      <c r="F387">
        <v>39</v>
      </c>
      <c r="G387">
        <v>7.96</v>
      </c>
      <c r="H387">
        <v>0.09</v>
      </c>
      <c r="I387">
        <v>0.76</v>
      </c>
      <c r="J387">
        <v>4.3899999999999997</v>
      </c>
      <c r="K387">
        <v>0</v>
      </c>
      <c r="L387">
        <v>26.94</v>
      </c>
      <c r="M387">
        <f t="shared" ref="M387:M450" si="12">SUM(F387*H387)</f>
        <v>3.51</v>
      </c>
      <c r="N387">
        <f t="shared" ref="N387:N450" si="13">SUM(I387*F387)</f>
        <v>29.64</v>
      </c>
    </row>
    <row r="388" spans="1:14" x14ac:dyDescent="0.35">
      <c r="A388" t="s">
        <v>35</v>
      </c>
      <c r="B388" t="s">
        <v>29</v>
      </c>
      <c r="C388" t="s">
        <v>23</v>
      </c>
      <c r="D388" t="s">
        <v>18</v>
      </c>
      <c r="E388" t="s">
        <v>21</v>
      </c>
      <c r="F388">
        <v>31</v>
      </c>
      <c r="G388">
        <v>5.78</v>
      </c>
      <c r="H388">
        <v>7.0000000000000007E-2</v>
      </c>
      <c r="I388">
        <v>0.73</v>
      </c>
      <c r="J388">
        <v>4.2699999999999996</v>
      </c>
      <c r="K388">
        <v>0</v>
      </c>
      <c r="L388">
        <v>23.67</v>
      </c>
      <c r="M388">
        <f t="shared" si="12"/>
        <v>2.1700000000000004</v>
      </c>
      <c r="N388">
        <f t="shared" si="13"/>
        <v>22.63</v>
      </c>
    </row>
    <row r="389" spans="1:14" x14ac:dyDescent="0.35">
      <c r="A389" t="s">
        <v>35</v>
      </c>
      <c r="B389" t="s">
        <v>29</v>
      </c>
      <c r="C389" t="s">
        <v>24</v>
      </c>
      <c r="D389" t="s">
        <v>15</v>
      </c>
      <c r="E389" t="s">
        <v>16</v>
      </c>
      <c r="F389">
        <v>65</v>
      </c>
      <c r="G389">
        <v>3.36</v>
      </c>
      <c r="H389">
        <v>0.03</v>
      </c>
      <c r="I389">
        <v>0.81</v>
      </c>
      <c r="J389">
        <v>4.49</v>
      </c>
      <c r="K389">
        <v>0</v>
      </c>
      <c r="L389">
        <v>20.04</v>
      </c>
      <c r="M389">
        <f t="shared" si="12"/>
        <v>1.95</v>
      </c>
      <c r="N389">
        <f t="shared" si="13"/>
        <v>52.650000000000006</v>
      </c>
    </row>
    <row r="390" spans="1:14" x14ac:dyDescent="0.35">
      <c r="A390" t="s">
        <v>35</v>
      </c>
      <c r="B390" t="s">
        <v>29</v>
      </c>
      <c r="C390" t="s">
        <v>24</v>
      </c>
      <c r="D390" t="s">
        <v>17</v>
      </c>
      <c r="E390" t="s">
        <v>19</v>
      </c>
      <c r="F390">
        <v>46</v>
      </c>
      <c r="G390">
        <v>6.44</v>
      </c>
      <c r="H390">
        <v>0.08</v>
      </c>
      <c r="I390">
        <v>0.75</v>
      </c>
      <c r="J390">
        <v>4.5</v>
      </c>
      <c r="K390">
        <v>2</v>
      </c>
      <c r="L390">
        <v>28.66</v>
      </c>
      <c r="M390">
        <f t="shared" si="12"/>
        <v>3.68</v>
      </c>
      <c r="N390">
        <f t="shared" si="13"/>
        <v>34.5</v>
      </c>
    </row>
    <row r="391" spans="1:14" x14ac:dyDescent="0.35">
      <c r="A391" t="s">
        <v>35</v>
      </c>
      <c r="B391" t="s">
        <v>29</v>
      </c>
      <c r="C391" t="s">
        <v>24</v>
      </c>
      <c r="D391" t="s">
        <v>18</v>
      </c>
      <c r="E391" t="s">
        <v>19</v>
      </c>
      <c r="F391">
        <v>35</v>
      </c>
      <c r="G391">
        <v>6.02</v>
      </c>
      <c r="H391">
        <v>0.16</v>
      </c>
      <c r="I391">
        <v>0.68</v>
      </c>
      <c r="J391">
        <v>3.94</v>
      </c>
      <c r="K391">
        <v>1</v>
      </c>
      <c r="L391">
        <v>26.03</v>
      </c>
      <c r="M391">
        <f t="shared" si="12"/>
        <v>5.6000000000000005</v>
      </c>
      <c r="N391">
        <f t="shared" si="13"/>
        <v>23.8</v>
      </c>
    </row>
    <row r="392" spans="1:14" x14ac:dyDescent="0.35">
      <c r="A392" t="s">
        <v>35</v>
      </c>
      <c r="B392" t="s">
        <v>30</v>
      </c>
      <c r="C392" t="s">
        <v>14</v>
      </c>
      <c r="D392" t="s">
        <v>15</v>
      </c>
      <c r="E392" t="s">
        <v>19</v>
      </c>
      <c r="F392">
        <v>41</v>
      </c>
      <c r="G392">
        <v>6.16</v>
      </c>
      <c r="H392">
        <v>0.26</v>
      </c>
      <c r="I392">
        <v>0.75</v>
      </c>
      <c r="J392">
        <v>4.67</v>
      </c>
      <c r="K392">
        <v>1</v>
      </c>
      <c r="L392">
        <v>26.24</v>
      </c>
      <c r="M392">
        <f t="shared" si="12"/>
        <v>10.66</v>
      </c>
      <c r="N392">
        <f t="shared" si="13"/>
        <v>30.75</v>
      </c>
    </row>
    <row r="393" spans="1:14" x14ac:dyDescent="0.35">
      <c r="A393" t="s">
        <v>35</v>
      </c>
      <c r="B393" t="s">
        <v>30</v>
      </c>
      <c r="C393" t="s">
        <v>14</v>
      </c>
      <c r="D393" t="s">
        <v>17</v>
      </c>
      <c r="E393" t="s">
        <v>21</v>
      </c>
      <c r="F393">
        <v>37</v>
      </c>
      <c r="G393">
        <v>6.05</v>
      </c>
      <c r="H393">
        <v>0.05</v>
      </c>
      <c r="I393">
        <v>0.77</v>
      </c>
      <c r="J393">
        <v>4.67</v>
      </c>
      <c r="K393">
        <v>1</v>
      </c>
      <c r="L393">
        <v>26.08</v>
      </c>
      <c r="M393">
        <f t="shared" si="12"/>
        <v>1.85</v>
      </c>
      <c r="N393">
        <f t="shared" si="13"/>
        <v>28.490000000000002</v>
      </c>
    </row>
    <row r="394" spans="1:14" x14ac:dyDescent="0.35">
      <c r="A394" t="s">
        <v>35</v>
      </c>
      <c r="B394" t="s">
        <v>30</v>
      </c>
      <c r="C394" t="s">
        <v>14</v>
      </c>
      <c r="D394" t="s">
        <v>18</v>
      </c>
      <c r="E394" t="s">
        <v>21</v>
      </c>
      <c r="F394">
        <v>63</v>
      </c>
      <c r="G394">
        <v>7.67</v>
      </c>
      <c r="H394">
        <v>0.08</v>
      </c>
      <c r="I394">
        <v>0.61</v>
      </c>
      <c r="J394">
        <v>4.75</v>
      </c>
      <c r="K394">
        <v>2</v>
      </c>
      <c r="L394">
        <v>30.5</v>
      </c>
      <c r="M394">
        <f t="shared" si="12"/>
        <v>5.04</v>
      </c>
      <c r="N394">
        <f t="shared" si="13"/>
        <v>38.43</v>
      </c>
    </row>
    <row r="395" spans="1:14" x14ac:dyDescent="0.35">
      <c r="A395" t="s">
        <v>35</v>
      </c>
      <c r="B395" t="s">
        <v>30</v>
      </c>
      <c r="C395" t="s">
        <v>20</v>
      </c>
      <c r="D395" t="s">
        <v>15</v>
      </c>
      <c r="E395" t="s">
        <v>21</v>
      </c>
      <c r="F395">
        <v>61</v>
      </c>
      <c r="G395">
        <v>5.89</v>
      </c>
      <c r="H395">
        <v>0.1</v>
      </c>
      <c r="I395">
        <v>0.85</v>
      </c>
      <c r="J395">
        <v>4.2300000000000004</v>
      </c>
      <c r="K395">
        <v>1</v>
      </c>
      <c r="L395">
        <v>25.84</v>
      </c>
      <c r="M395">
        <f t="shared" si="12"/>
        <v>6.1000000000000005</v>
      </c>
      <c r="N395">
        <f t="shared" si="13"/>
        <v>51.85</v>
      </c>
    </row>
    <row r="396" spans="1:14" x14ac:dyDescent="0.35">
      <c r="A396" t="s">
        <v>35</v>
      </c>
      <c r="B396" t="s">
        <v>30</v>
      </c>
      <c r="C396" t="s">
        <v>20</v>
      </c>
      <c r="D396" t="s">
        <v>17</v>
      </c>
      <c r="E396" t="s">
        <v>19</v>
      </c>
      <c r="F396">
        <v>55</v>
      </c>
      <c r="G396">
        <v>5.62</v>
      </c>
      <c r="H396">
        <v>0.21</v>
      </c>
      <c r="I396">
        <v>0.87</v>
      </c>
      <c r="J396">
        <v>4.25</v>
      </c>
      <c r="K396">
        <v>0</v>
      </c>
      <c r="L396">
        <v>23.43</v>
      </c>
      <c r="M396">
        <f t="shared" si="12"/>
        <v>11.549999999999999</v>
      </c>
      <c r="N396">
        <f t="shared" si="13"/>
        <v>47.85</v>
      </c>
    </row>
    <row r="397" spans="1:14" x14ac:dyDescent="0.35">
      <c r="A397" t="s">
        <v>35</v>
      </c>
      <c r="B397" t="s">
        <v>30</v>
      </c>
      <c r="C397" t="s">
        <v>20</v>
      </c>
      <c r="D397" t="s">
        <v>18</v>
      </c>
      <c r="E397" t="s">
        <v>21</v>
      </c>
      <c r="F397">
        <v>69</v>
      </c>
      <c r="G397">
        <v>5.68</v>
      </c>
      <c r="H397">
        <v>0.14000000000000001</v>
      </c>
      <c r="I397">
        <v>0.64</v>
      </c>
      <c r="J397">
        <v>4.34</v>
      </c>
      <c r="K397">
        <v>2</v>
      </c>
      <c r="L397">
        <v>27.52</v>
      </c>
      <c r="M397">
        <f t="shared" si="12"/>
        <v>9.66</v>
      </c>
      <c r="N397">
        <f t="shared" si="13"/>
        <v>44.160000000000004</v>
      </c>
    </row>
    <row r="398" spans="1:14" x14ac:dyDescent="0.35">
      <c r="A398" t="s">
        <v>35</v>
      </c>
      <c r="B398" t="s">
        <v>30</v>
      </c>
      <c r="C398" t="s">
        <v>22</v>
      </c>
      <c r="D398" t="s">
        <v>15</v>
      </c>
      <c r="E398" t="s">
        <v>21</v>
      </c>
      <c r="F398">
        <v>67</v>
      </c>
      <c r="G398">
        <v>5.74</v>
      </c>
      <c r="H398">
        <v>0.14000000000000001</v>
      </c>
      <c r="I398">
        <v>0.86</v>
      </c>
      <c r="J398">
        <v>3.58</v>
      </c>
      <c r="K398">
        <v>0</v>
      </c>
      <c r="L398">
        <v>23.61</v>
      </c>
      <c r="M398">
        <f t="shared" si="12"/>
        <v>9.3800000000000008</v>
      </c>
      <c r="N398">
        <f t="shared" si="13"/>
        <v>57.62</v>
      </c>
    </row>
    <row r="399" spans="1:14" x14ac:dyDescent="0.35">
      <c r="A399" t="s">
        <v>35</v>
      </c>
      <c r="B399" t="s">
        <v>30</v>
      </c>
      <c r="C399" t="s">
        <v>22</v>
      </c>
      <c r="D399" t="s">
        <v>17</v>
      </c>
      <c r="E399" t="s">
        <v>19</v>
      </c>
      <c r="F399">
        <v>70</v>
      </c>
      <c r="G399">
        <v>4.16</v>
      </c>
      <c r="H399">
        <v>0.16</v>
      </c>
      <c r="I399">
        <v>0.77</v>
      </c>
      <c r="J399">
        <v>4.75</v>
      </c>
      <c r="K399">
        <v>0</v>
      </c>
      <c r="L399">
        <v>21.24</v>
      </c>
      <c r="M399">
        <f t="shared" si="12"/>
        <v>11.200000000000001</v>
      </c>
      <c r="N399">
        <f t="shared" si="13"/>
        <v>53.9</v>
      </c>
    </row>
    <row r="400" spans="1:14" x14ac:dyDescent="0.35">
      <c r="A400" t="s">
        <v>35</v>
      </c>
      <c r="B400" t="s">
        <v>30</v>
      </c>
      <c r="C400" t="s">
        <v>22</v>
      </c>
      <c r="D400" t="s">
        <v>18</v>
      </c>
      <c r="E400" t="s">
        <v>19</v>
      </c>
      <c r="F400">
        <v>50</v>
      </c>
      <c r="G400">
        <v>6.11</v>
      </c>
      <c r="H400">
        <v>0.28000000000000003</v>
      </c>
      <c r="I400">
        <v>0.79</v>
      </c>
      <c r="J400">
        <v>4.21</v>
      </c>
      <c r="K400">
        <v>0</v>
      </c>
      <c r="L400">
        <v>24.16</v>
      </c>
      <c r="M400">
        <f t="shared" si="12"/>
        <v>14.000000000000002</v>
      </c>
      <c r="N400">
        <f t="shared" si="13"/>
        <v>39.5</v>
      </c>
    </row>
    <row r="401" spans="1:14" x14ac:dyDescent="0.35">
      <c r="A401" t="s">
        <v>35</v>
      </c>
      <c r="B401" t="s">
        <v>30</v>
      </c>
      <c r="C401" t="s">
        <v>23</v>
      </c>
      <c r="D401" t="s">
        <v>15</v>
      </c>
      <c r="E401" t="s">
        <v>16</v>
      </c>
      <c r="F401">
        <v>32</v>
      </c>
      <c r="G401">
        <v>6.41</v>
      </c>
      <c r="H401">
        <v>0.04</v>
      </c>
      <c r="I401">
        <v>0.82</v>
      </c>
      <c r="J401">
        <v>3.77</v>
      </c>
      <c r="K401">
        <v>0</v>
      </c>
      <c r="L401">
        <v>24.62</v>
      </c>
      <c r="M401">
        <f t="shared" si="12"/>
        <v>1.28</v>
      </c>
      <c r="N401">
        <f t="shared" si="13"/>
        <v>26.24</v>
      </c>
    </row>
    <row r="402" spans="1:14" x14ac:dyDescent="0.35">
      <c r="A402" t="s">
        <v>35</v>
      </c>
      <c r="B402" t="s">
        <v>30</v>
      </c>
      <c r="C402" t="s">
        <v>23</v>
      </c>
      <c r="D402" t="s">
        <v>17</v>
      </c>
      <c r="E402" t="s">
        <v>21</v>
      </c>
      <c r="F402">
        <v>77</v>
      </c>
      <c r="G402">
        <v>6.01</v>
      </c>
      <c r="H402">
        <v>7.0000000000000007E-2</v>
      </c>
      <c r="I402">
        <v>0.85</v>
      </c>
      <c r="J402">
        <v>3.64</v>
      </c>
      <c r="K402">
        <v>1</v>
      </c>
      <c r="L402">
        <v>26.02</v>
      </c>
      <c r="M402">
        <f t="shared" si="12"/>
        <v>5.3900000000000006</v>
      </c>
      <c r="N402">
        <f t="shared" si="13"/>
        <v>65.45</v>
      </c>
    </row>
    <row r="403" spans="1:14" x14ac:dyDescent="0.35">
      <c r="A403" t="s">
        <v>35</v>
      </c>
      <c r="B403" t="s">
        <v>30</v>
      </c>
      <c r="C403" t="s">
        <v>23</v>
      </c>
      <c r="D403" t="s">
        <v>18</v>
      </c>
      <c r="E403" t="s">
        <v>16</v>
      </c>
      <c r="F403">
        <v>55</v>
      </c>
      <c r="G403">
        <v>6.18</v>
      </c>
      <c r="H403">
        <v>0.09</v>
      </c>
      <c r="I403">
        <v>0.65</v>
      </c>
      <c r="J403">
        <v>4.0999999999999996</v>
      </c>
      <c r="K403">
        <v>2</v>
      </c>
      <c r="L403">
        <v>28.27</v>
      </c>
      <c r="M403">
        <f t="shared" si="12"/>
        <v>4.95</v>
      </c>
      <c r="N403">
        <f t="shared" si="13"/>
        <v>35.75</v>
      </c>
    </row>
    <row r="404" spans="1:14" x14ac:dyDescent="0.35">
      <c r="A404" t="s">
        <v>35</v>
      </c>
      <c r="B404" t="s">
        <v>30</v>
      </c>
      <c r="C404" t="s">
        <v>24</v>
      </c>
      <c r="D404" t="s">
        <v>15</v>
      </c>
      <c r="E404" t="s">
        <v>19</v>
      </c>
      <c r="F404">
        <v>67</v>
      </c>
      <c r="G404">
        <v>6.16</v>
      </c>
      <c r="H404">
        <v>0.1</v>
      </c>
      <c r="I404">
        <v>0.87</v>
      </c>
      <c r="J404">
        <v>4.68</v>
      </c>
      <c r="K404">
        <v>2</v>
      </c>
      <c r="L404">
        <v>28.24</v>
      </c>
      <c r="M404">
        <f t="shared" si="12"/>
        <v>6.7</v>
      </c>
      <c r="N404">
        <f t="shared" si="13"/>
        <v>58.29</v>
      </c>
    </row>
    <row r="405" spans="1:14" x14ac:dyDescent="0.35">
      <c r="A405" t="s">
        <v>35</v>
      </c>
      <c r="B405" t="s">
        <v>30</v>
      </c>
      <c r="C405" t="s">
        <v>24</v>
      </c>
      <c r="D405" t="s">
        <v>17</v>
      </c>
      <c r="E405" t="s">
        <v>21</v>
      </c>
      <c r="F405">
        <v>45</v>
      </c>
      <c r="G405">
        <v>6.04</v>
      </c>
      <c r="H405">
        <v>0.15</v>
      </c>
      <c r="I405">
        <v>0.86</v>
      </c>
      <c r="J405">
        <v>3.71</v>
      </c>
      <c r="K405">
        <v>0</v>
      </c>
      <c r="L405">
        <v>24.06</v>
      </c>
      <c r="M405">
        <f t="shared" si="12"/>
        <v>6.75</v>
      </c>
      <c r="N405">
        <f t="shared" si="13"/>
        <v>38.700000000000003</v>
      </c>
    </row>
    <row r="406" spans="1:14" x14ac:dyDescent="0.35">
      <c r="A406" t="s">
        <v>35</v>
      </c>
      <c r="B406" t="s">
        <v>30</v>
      </c>
      <c r="C406" t="s">
        <v>24</v>
      </c>
      <c r="D406" t="s">
        <v>18</v>
      </c>
      <c r="E406" t="s">
        <v>21</v>
      </c>
      <c r="F406">
        <v>76</v>
      </c>
      <c r="G406">
        <v>5.76</v>
      </c>
      <c r="H406">
        <v>0.12</v>
      </c>
      <c r="I406">
        <v>0.84</v>
      </c>
      <c r="J406">
        <v>4.49</v>
      </c>
      <c r="K406">
        <v>2</v>
      </c>
      <c r="L406">
        <v>27.64</v>
      </c>
      <c r="M406">
        <f t="shared" si="12"/>
        <v>9.1199999999999992</v>
      </c>
      <c r="N406">
        <f t="shared" si="13"/>
        <v>63.839999999999996</v>
      </c>
    </row>
    <row r="407" spans="1:14" x14ac:dyDescent="0.35">
      <c r="A407" t="s">
        <v>35</v>
      </c>
      <c r="B407" t="s">
        <v>31</v>
      </c>
      <c r="C407" t="s">
        <v>14</v>
      </c>
      <c r="D407" t="s">
        <v>15</v>
      </c>
      <c r="E407" t="s">
        <v>16</v>
      </c>
      <c r="F407">
        <v>66</v>
      </c>
      <c r="G407">
        <v>4.45</v>
      </c>
      <c r="H407">
        <v>0.02</v>
      </c>
      <c r="I407">
        <v>0.8</v>
      </c>
      <c r="J407">
        <v>4.7</v>
      </c>
      <c r="K407">
        <v>0</v>
      </c>
      <c r="L407">
        <v>21.68</v>
      </c>
      <c r="M407">
        <f t="shared" si="12"/>
        <v>1.32</v>
      </c>
      <c r="N407">
        <f t="shared" si="13"/>
        <v>52.800000000000004</v>
      </c>
    </row>
    <row r="408" spans="1:14" x14ac:dyDescent="0.35">
      <c r="A408" t="s">
        <v>35</v>
      </c>
      <c r="B408" t="s">
        <v>31</v>
      </c>
      <c r="C408" t="s">
        <v>14</v>
      </c>
      <c r="D408" t="s">
        <v>17</v>
      </c>
      <c r="E408" t="s">
        <v>16</v>
      </c>
      <c r="F408">
        <v>53</v>
      </c>
      <c r="G408">
        <v>5.51</v>
      </c>
      <c r="H408">
        <v>0.09</v>
      </c>
      <c r="I408">
        <v>0.87</v>
      </c>
      <c r="J408">
        <v>3.83</v>
      </c>
      <c r="K408">
        <v>0</v>
      </c>
      <c r="L408">
        <v>23.26</v>
      </c>
      <c r="M408">
        <f t="shared" si="12"/>
        <v>4.7699999999999996</v>
      </c>
      <c r="N408">
        <f t="shared" si="13"/>
        <v>46.11</v>
      </c>
    </row>
    <row r="409" spans="1:14" x14ac:dyDescent="0.35">
      <c r="A409" t="s">
        <v>35</v>
      </c>
      <c r="B409" t="s">
        <v>31</v>
      </c>
      <c r="C409" t="s">
        <v>14</v>
      </c>
      <c r="D409" t="s">
        <v>18</v>
      </c>
      <c r="E409" t="s">
        <v>16</v>
      </c>
      <c r="F409">
        <v>73</v>
      </c>
      <c r="G409">
        <v>6.47</v>
      </c>
      <c r="H409">
        <v>0.11</v>
      </c>
      <c r="I409">
        <v>0.63</v>
      </c>
      <c r="J409">
        <v>3.88</v>
      </c>
      <c r="K409">
        <v>0</v>
      </c>
      <c r="L409">
        <v>24.7</v>
      </c>
      <c r="M409">
        <f t="shared" si="12"/>
        <v>8.0299999999999994</v>
      </c>
      <c r="N409">
        <f t="shared" si="13"/>
        <v>45.99</v>
      </c>
    </row>
    <row r="410" spans="1:14" x14ac:dyDescent="0.35">
      <c r="A410" t="s">
        <v>35</v>
      </c>
      <c r="B410" t="s">
        <v>31</v>
      </c>
      <c r="C410" t="s">
        <v>20</v>
      </c>
      <c r="D410" t="s">
        <v>15</v>
      </c>
      <c r="E410" t="s">
        <v>21</v>
      </c>
      <c r="F410">
        <v>30</v>
      </c>
      <c r="G410">
        <v>4.66</v>
      </c>
      <c r="H410">
        <v>0.12</v>
      </c>
      <c r="I410">
        <v>0.89</v>
      </c>
      <c r="J410">
        <v>4.74</v>
      </c>
      <c r="K410">
        <v>0</v>
      </c>
      <c r="L410">
        <v>21.99</v>
      </c>
      <c r="M410">
        <f t="shared" si="12"/>
        <v>3.5999999999999996</v>
      </c>
      <c r="N410">
        <f t="shared" si="13"/>
        <v>26.7</v>
      </c>
    </row>
    <row r="411" spans="1:14" x14ac:dyDescent="0.35">
      <c r="A411" t="s">
        <v>35</v>
      </c>
      <c r="B411" t="s">
        <v>31</v>
      </c>
      <c r="C411" t="s">
        <v>20</v>
      </c>
      <c r="D411" t="s">
        <v>17</v>
      </c>
      <c r="E411" t="s">
        <v>16</v>
      </c>
      <c r="F411">
        <v>47</v>
      </c>
      <c r="G411">
        <v>4.4000000000000004</v>
      </c>
      <c r="H411">
        <v>0.15</v>
      </c>
      <c r="I411">
        <v>0.81</v>
      </c>
      <c r="J411">
        <v>4.25</v>
      </c>
      <c r="K411">
        <v>0</v>
      </c>
      <c r="L411">
        <v>21.6</v>
      </c>
      <c r="M411">
        <f t="shared" si="12"/>
        <v>7.05</v>
      </c>
      <c r="N411">
        <f t="shared" si="13"/>
        <v>38.07</v>
      </c>
    </row>
    <row r="412" spans="1:14" x14ac:dyDescent="0.35">
      <c r="A412" t="s">
        <v>35</v>
      </c>
      <c r="B412" t="s">
        <v>31</v>
      </c>
      <c r="C412" t="s">
        <v>20</v>
      </c>
      <c r="D412" t="s">
        <v>18</v>
      </c>
      <c r="E412" t="s">
        <v>21</v>
      </c>
      <c r="F412">
        <v>30</v>
      </c>
      <c r="G412">
        <v>6.01</v>
      </c>
      <c r="H412">
        <v>0.05</v>
      </c>
      <c r="I412">
        <v>0.61</v>
      </c>
      <c r="J412">
        <v>3.55</v>
      </c>
      <c r="K412">
        <v>0</v>
      </c>
      <c r="L412">
        <v>24.02</v>
      </c>
      <c r="M412">
        <f t="shared" si="12"/>
        <v>1.5</v>
      </c>
      <c r="N412">
        <f t="shared" si="13"/>
        <v>18.3</v>
      </c>
    </row>
    <row r="413" spans="1:14" x14ac:dyDescent="0.35">
      <c r="A413" t="s">
        <v>35</v>
      </c>
      <c r="B413" t="s">
        <v>31</v>
      </c>
      <c r="C413" t="s">
        <v>22</v>
      </c>
      <c r="D413" t="s">
        <v>15</v>
      </c>
      <c r="E413" t="s">
        <v>21</v>
      </c>
      <c r="F413">
        <v>74</v>
      </c>
      <c r="G413">
        <v>5.05</v>
      </c>
      <c r="H413">
        <v>0.05</v>
      </c>
      <c r="I413">
        <v>0.81</v>
      </c>
      <c r="J413">
        <v>4.43</v>
      </c>
      <c r="K413">
        <v>0</v>
      </c>
      <c r="L413">
        <v>22.58</v>
      </c>
      <c r="M413">
        <f t="shared" si="12"/>
        <v>3.7</v>
      </c>
      <c r="N413">
        <f t="shared" si="13"/>
        <v>59.940000000000005</v>
      </c>
    </row>
    <row r="414" spans="1:14" x14ac:dyDescent="0.35">
      <c r="A414" t="s">
        <v>35</v>
      </c>
      <c r="B414" t="s">
        <v>31</v>
      </c>
      <c r="C414" t="s">
        <v>22</v>
      </c>
      <c r="D414" t="s">
        <v>17</v>
      </c>
      <c r="E414" t="s">
        <v>16</v>
      </c>
      <c r="F414">
        <v>41</v>
      </c>
      <c r="G414">
        <v>5.19</v>
      </c>
      <c r="H414">
        <v>7.0000000000000007E-2</v>
      </c>
      <c r="I414">
        <v>0.88</v>
      </c>
      <c r="J414">
        <v>4.7300000000000004</v>
      </c>
      <c r="K414">
        <v>2</v>
      </c>
      <c r="L414">
        <v>26.78</v>
      </c>
      <c r="M414">
        <f t="shared" si="12"/>
        <v>2.87</v>
      </c>
      <c r="N414">
        <f t="shared" si="13"/>
        <v>36.08</v>
      </c>
    </row>
    <row r="415" spans="1:14" x14ac:dyDescent="0.35">
      <c r="A415" t="s">
        <v>35</v>
      </c>
      <c r="B415" t="s">
        <v>31</v>
      </c>
      <c r="C415" t="s">
        <v>22</v>
      </c>
      <c r="D415" t="s">
        <v>18</v>
      </c>
      <c r="E415" t="s">
        <v>16</v>
      </c>
      <c r="F415">
        <v>33</v>
      </c>
      <c r="G415">
        <v>6.96</v>
      </c>
      <c r="H415">
        <v>0.13</v>
      </c>
      <c r="I415">
        <v>0.82</v>
      </c>
      <c r="J415">
        <v>4.21</v>
      </c>
      <c r="K415">
        <v>0</v>
      </c>
      <c r="L415">
        <v>25.44</v>
      </c>
      <c r="M415">
        <f t="shared" si="12"/>
        <v>4.29</v>
      </c>
      <c r="N415">
        <f t="shared" si="13"/>
        <v>27.06</v>
      </c>
    </row>
    <row r="416" spans="1:14" x14ac:dyDescent="0.35">
      <c r="A416" t="s">
        <v>35</v>
      </c>
      <c r="B416" t="s">
        <v>31</v>
      </c>
      <c r="C416" t="s">
        <v>23</v>
      </c>
      <c r="D416" t="s">
        <v>15</v>
      </c>
      <c r="E416" t="s">
        <v>19</v>
      </c>
      <c r="F416">
        <v>77</v>
      </c>
      <c r="G416">
        <v>6.89</v>
      </c>
      <c r="H416">
        <v>0.1</v>
      </c>
      <c r="I416">
        <v>0.76</v>
      </c>
      <c r="J416">
        <v>3.59</v>
      </c>
      <c r="K416">
        <v>2</v>
      </c>
      <c r="L416">
        <v>29.34</v>
      </c>
      <c r="M416">
        <f t="shared" si="12"/>
        <v>7.7</v>
      </c>
      <c r="N416">
        <f t="shared" si="13"/>
        <v>58.52</v>
      </c>
    </row>
    <row r="417" spans="1:14" x14ac:dyDescent="0.35">
      <c r="A417" t="s">
        <v>35</v>
      </c>
      <c r="B417" t="s">
        <v>31</v>
      </c>
      <c r="C417" t="s">
        <v>23</v>
      </c>
      <c r="D417" t="s">
        <v>17</v>
      </c>
      <c r="E417" t="s">
        <v>16</v>
      </c>
      <c r="F417">
        <v>32</v>
      </c>
      <c r="G417">
        <v>5.58</v>
      </c>
      <c r="H417">
        <v>0.03</v>
      </c>
      <c r="I417">
        <v>0.87</v>
      </c>
      <c r="J417">
        <v>3.56</v>
      </c>
      <c r="K417">
        <v>1</v>
      </c>
      <c r="L417">
        <v>25.37</v>
      </c>
      <c r="M417">
        <f t="shared" si="12"/>
        <v>0.96</v>
      </c>
      <c r="N417">
        <f t="shared" si="13"/>
        <v>27.84</v>
      </c>
    </row>
    <row r="418" spans="1:14" x14ac:dyDescent="0.35">
      <c r="A418" t="s">
        <v>35</v>
      </c>
      <c r="B418" t="s">
        <v>31</v>
      </c>
      <c r="C418" t="s">
        <v>23</v>
      </c>
      <c r="D418" t="s">
        <v>18</v>
      </c>
      <c r="E418" t="s">
        <v>21</v>
      </c>
      <c r="F418">
        <v>53</v>
      </c>
      <c r="G418">
        <v>5.05</v>
      </c>
      <c r="H418">
        <v>0.13</v>
      </c>
      <c r="I418">
        <v>0.73</v>
      </c>
      <c r="J418">
        <v>3.87</v>
      </c>
      <c r="K418">
        <v>0</v>
      </c>
      <c r="L418">
        <v>22.58</v>
      </c>
      <c r="M418">
        <f t="shared" si="12"/>
        <v>6.8900000000000006</v>
      </c>
      <c r="N418">
        <f t="shared" si="13"/>
        <v>38.69</v>
      </c>
    </row>
    <row r="419" spans="1:14" x14ac:dyDescent="0.35">
      <c r="A419" t="s">
        <v>35</v>
      </c>
      <c r="B419" t="s">
        <v>31</v>
      </c>
      <c r="C419" t="s">
        <v>24</v>
      </c>
      <c r="D419" t="s">
        <v>15</v>
      </c>
      <c r="E419" t="s">
        <v>19</v>
      </c>
      <c r="F419">
        <v>70</v>
      </c>
      <c r="G419">
        <v>6.42</v>
      </c>
      <c r="H419">
        <v>0.05</v>
      </c>
      <c r="I419">
        <v>0.81</v>
      </c>
      <c r="J419">
        <v>4.18</v>
      </c>
      <c r="K419">
        <v>0</v>
      </c>
      <c r="L419">
        <v>24.63</v>
      </c>
      <c r="M419">
        <f t="shared" si="12"/>
        <v>3.5</v>
      </c>
      <c r="N419">
        <f t="shared" si="13"/>
        <v>56.7</v>
      </c>
    </row>
    <row r="420" spans="1:14" x14ac:dyDescent="0.35">
      <c r="A420" t="s">
        <v>35</v>
      </c>
      <c r="B420" t="s">
        <v>31</v>
      </c>
      <c r="C420" t="s">
        <v>24</v>
      </c>
      <c r="D420" t="s">
        <v>17</v>
      </c>
      <c r="E420" t="s">
        <v>21</v>
      </c>
      <c r="F420">
        <v>36</v>
      </c>
      <c r="G420">
        <v>6.99</v>
      </c>
      <c r="H420">
        <v>0.03</v>
      </c>
      <c r="I420">
        <v>0.78</v>
      </c>
      <c r="J420">
        <v>3.9</v>
      </c>
      <c r="K420">
        <v>1</v>
      </c>
      <c r="L420">
        <v>27.48</v>
      </c>
      <c r="M420">
        <f t="shared" si="12"/>
        <v>1.08</v>
      </c>
      <c r="N420">
        <f t="shared" si="13"/>
        <v>28.080000000000002</v>
      </c>
    </row>
    <row r="421" spans="1:14" x14ac:dyDescent="0.35">
      <c r="A421" t="s">
        <v>35</v>
      </c>
      <c r="B421" t="s">
        <v>31</v>
      </c>
      <c r="C421" t="s">
        <v>24</v>
      </c>
      <c r="D421" t="s">
        <v>18</v>
      </c>
      <c r="E421" t="s">
        <v>16</v>
      </c>
      <c r="F421">
        <v>70</v>
      </c>
      <c r="G421">
        <v>5.84</v>
      </c>
      <c r="H421">
        <v>0.13</v>
      </c>
      <c r="I421">
        <v>0.71</v>
      </c>
      <c r="J421">
        <v>3.89</v>
      </c>
      <c r="K421">
        <v>0</v>
      </c>
      <c r="L421">
        <v>23.76</v>
      </c>
      <c r="M421">
        <f t="shared" si="12"/>
        <v>9.1</v>
      </c>
      <c r="N421">
        <f t="shared" si="13"/>
        <v>49.699999999999996</v>
      </c>
    </row>
    <row r="422" spans="1:14" x14ac:dyDescent="0.35">
      <c r="A422" t="s">
        <v>35</v>
      </c>
      <c r="B422" t="s">
        <v>32</v>
      </c>
      <c r="C422" t="s">
        <v>14</v>
      </c>
      <c r="D422" t="s">
        <v>15</v>
      </c>
      <c r="E422" t="s">
        <v>21</v>
      </c>
      <c r="F422">
        <v>56</v>
      </c>
      <c r="G422">
        <v>5.38</v>
      </c>
      <c r="H422">
        <v>0.06</v>
      </c>
      <c r="I422">
        <v>0.9</v>
      </c>
      <c r="J422">
        <v>4.03</v>
      </c>
      <c r="K422">
        <v>0</v>
      </c>
      <c r="L422">
        <v>23.07</v>
      </c>
      <c r="M422">
        <f t="shared" si="12"/>
        <v>3.36</v>
      </c>
      <c r="N422">
        <f t="shared" si="13"/>
        <v>50.4</v>
      </c>
    </row>
    <row r="423" spans="1:14" x14ac:dyDescent="0.35">
      <c r="A423" t="s">
        <v>35</v>
      </c>
      <c r="B423" t="s">
        <v>32</v>
      </c>
      <c r="C423" t="s">
        <v>14</v>
      </c>
      <c r="D423" t="s">
        <v>17</v>
      </c>
      <c r="E423" t="s">
        <v>21</v>
      </c>
      <c r="F423">
        <v>50</v>
      </c>
      <c r="G423">
        <v>5.62</v>
      </c>
      <c r="H423">
        <v>0.04</v>
      </c>
      <c r="I423">
        <v>0.81</v>
      </c>
      <c r="J423">
        <v>4.04</v>
      </c>
      <c r="K423">
        <v>1</v>
      </c>
      <c r="L423">
        <v>25.43</v>
      </c>
      <c r="M423">
        <f t="shared" si="12"/>
        <v>2</v>
      </c>
      <c r="N423">
        <f t="shared" si="13"/>
        <v>40.5</v>
      </c>
    </row>
    <row r="424" spans="1:14" x14ac:dyDescent="0.35">
      <c r="A424" t="s">
        <v>35</v>
      </c>
      <c r="B424" t="s">
        <v>32</v>
      </c>
      <c r="C424" t="s">
        <v>14</v>
      </c>
      <c r="D424" t="s">
        <v>18</v>
      </c>
      <c r="E424" t="s">
        <v>19</v>
      </c>
      <c r="F424">
        <v>63</v>
      </c>
      <c r="G424">
        <v>6.42</v>
      </c>
      <c r="H424">
        <v>0.28999999999999998</v>
      </c>
      <c r="I424">
        <v>0.61</v>
      </c>
      <c r="J424">
        <v>3.84</v>
      </c>
      <c r="K424">
        <v>1</v>
      </c>
      <c r="L424">
        <v>26.63</v>
      </c>
      <c r="M424">
        <f t="shared" si="12"/>
        <v>18.27</v>
      </c>
      <c r="N424">
        <f t="shared" si="13"/>
        <v>38.43</v>
      </c>
    </row>
    <row r="425" spans="1:14" x14ac:dyDescent="0.35">
      <c r="A425" t="s">
        <v>35</v>
      </c>
      <c r="B425" t="s">
        <v>32</v>
      </c>
      <c r="C425" t="s">
        <v>20</v>
      </c>
      <c r="D425" t="s">
        <v>15</v>
      </c>
      <c r="E425" t="s">
        <v>19</v>
      </c>
      <c r="F425">
        <v>54</v>
      </c>
      <c r="G425">
        <v>7.4</v>
      </c>
      <c r="H425">
        <v>0.08</v>
      </c>
      <c r="I425">
        <v>0.83</v>
      </c>
      <c r="J425">
        <v>4.51</v>
      </c>
      <c r="K425">
        <v>1</v>
      </c>
      <c r="L425">
        <v>28.1</v>
      </c>
      <c r="M425">
        <f t="shared" si="12"/>
        <v>4.32</v>
      </c>
      <c r="N425">
        <f t="shared" si="13"/>
        <v>44.82</v>
      </c>
    </row>
    <row r="426" spans="1:14" x14ac:dyDescent="0.35">
      <c r="A426" t="s">
        <v>35</v>
      </c>
      <c r="B426" t="s">
        <v>32</v>
      </c>
      <c r="C426" t="s">
        <v>20</v>
      </c>
      <c r="D426" t="s">
        <v>17</v>
      </c>
      <c r="E426" t="s">
        <v>19</v>
      </c>
      <c r="F426">
        <v>46</v>
      </c>
      <c r="G426">
        <v>7.08</v>
      </c>
      <c r="H426">
        <v>0.17</v>
      </c>
      <c r="I426">
        <v>0.89</v>
      </c>
      <c r="J426">
        <v>4.4000000000000004</v>
      </c>
      <c r="K426">
        <v>1</v>
      </c>
      <c r="L426">
        <v>27.62</v>
      </c>
      <c r="M426">
        <f t="shared" si="12"/>
        <v>7.82</v>
      </c>
      <c r="N426">
        <f t="shared" si="13"/>
        <v>40.94</v>
      </c>
    </row>
    <row r="427" spans="1:14" x14ac:dyDescent="0.35">
      <c r="A427" t="s">
        <v>35</v>
      </c>
      <c r="B427" t="s">
        <v>32</v>
      </c>
      <c r="C427" t="s">
        <v>20</v>
      </c>
      <c r="D427" t="s">
        <v>18</v>
      </c>
      <c r="E427" t="s">
        <v>21</v>
      </c>
      <c r="F427">
        <v>46</v>
      </c>
      <c r="G427">
        <v>7</v>
      </c>
      <c r="H427">
        <v>0.02</v>
      </c>
      <c r="I427">
        <v>0.61</v>
      </c>
      <c r="J427">
        <v>3.68</v>
      </c>
      <c r="K427">
        <v>0</v>
      </c>
      <c r="L427">
        <v>25.5</v>
      </c>
      <c r="M427">
        <f t="shared" si="12"/>
        <v>0.92</v>
      </c>
      <c r="N427">
        <f t="shared" si="13"/>
        <v>28.06</v>
      </c>
    </row>
    <row r="428" spans="1:14" x14ac:dyDescent="0.35">
      <c r="A428" t="s">
        <v>35</v>
      </c>
      <c r="B428" t="s">
        <v>32</v>
      </c>
      <c r="C428" t="s">
        <v>22</v>
      </c>
      <c r="D428" t="s">
        <v>15</v>
      </c>
      <c r="E428" t="s">
        <v>16</v>
      </c>
      <c r="F428">
        <v>32</v>
      </c>
      <c r="G428">
        <v>6.31</v>
      </c>
      <c r="H428">
        <v>0.11</v>
      </c>
      <c r="I428">
        <v>0.82</v>
      </c>
      <c r="J428">
        <v>4.21</v>
      </c>
      <c r="K428">
        <v>0</v>
      </c>
      <c r="L428">
        <v>24.46</v>
      </c>
      <c r="M428">
        <f t="shared" si="12"/>
        <v>3.52</v>
      </c>
      <c r="N428">
        <f t="shared" si="13"/>
        <v>26.24</v>
      </c>
    </row>
    <row r="429" spans="1:14" x14ac:dyDescent="0.35">
      <c r="A429" t="s">
        <v>35</v>
      </c>
      <c r="B429" t="s">
        <v>32</v>
      </c>
      <c r="C429" t="s">
        <v>22</v>
      </c>
      <c r="D429" t="s">
        <v>17</v>
      </c>
      <c r="E429" t="s">
        <v>16</v>
      </c>
      <c r="F429">
        <v>65</v>
      </c>
      <c r="G429">
        <v>5.55</v>
      </c>
      <c r="H429">
        <v>0.12</v>
      </c>
      <c r="I429">
        <v>0.86</v>
      </c>
      <c r="J429">
        <v>4</v>
      </c>
      <c r="K429">
        <v>0</v>
      </c>
      <c r="L429">
        <v>23.32</v>
      </c>
      <c r="M429">
        <f t="shared" si="12"/>
        <v>7.8</v>
      </c>
      <c r="N429">
        <f t="shared" si="13"/>
        <v>55.9</v>
      </c>
    </row>
    <row r="430" spans="1:14" x14ac:dyDescent="0.35">
      <c r="A430" t="s">
        <v>35</v>
      </c>
      <c r="B430" t="s">
        <v>32</v>
      </c>
      <c r="C430" t="s">
        <v>22</v>
      </c>
      <c r="D430" t="s">
        <v>18</v>
      </c>
      <c r="E430" t="s">
        <v>21</v>
      </c>
      <c r="F430">
        <v>69</v>
      </c>
      <c r="G430">
        <v>6.49</v>
      </c>
      <c r="H430">
        <v>0.13</v>
      </c>
      <c r="I430">
        <v>0.62</v>
      </c>
      <c r="J430">
        <v>4.2300000000000004</v>
      </c>
      <c r="K430">
        <v>0</v>
      </c>
      <c r="L430">
        <v>24.74</v>
      </c>
      <c r="M430">
        <f t="shared" si="12"/>
        <v>8.9700000000000006</v>
      </c>
      <c r="N430">
        <f t="shared" si="13"/>
        <v>42.78</v>
      </c>
    </row>
    <row r="431" spans="1:14" x14ac:dyDescent="0.35">
      <c r="A431" t="s">
        <v>35</v>
      </c>
      <c r="B431" t="s">
        <v>32</v>
      </c>
      <c r="C431" t="s">
        <v>23</v>
      </c>
      <c r="D431" t="s">
        <v>15</v>
      </c>
      <c r="E431" t="s">
        <v>21</v>
      </c>
      <c r="F431">
        <v>62</v>
      </c>
      <c r="G431">
        <v>7.25</v>
      </c>
      <c r="H431">
        <v>0.15</v>
      </c>
      <c r="I431">
        <v>0.76</v>
      </c>
      <c r="J431">
        <v>4.16</v>
      </c>
      <c r="K431">
        <v>1</v>
      </c>
      <c r="L431">
        <v>27.88</v>
      </c>
      <c r="M431">
        <f t="shared" si="12"/>
        <v>9.2999999999999989</v>
      </c>
      <c r="N431">
        <f t="shared" si="13"/>
        <v>47.12</v>
      </c>
    </row>
    <row r="432" spans="1:14" x14ac:dyDescent="0.35">
      <c r="A432" t="s">
        <v>35</v>
      </c>
      <c r="B432" t="s">
        <v>32</v>
      </c>
      <c r="C432" t="s">
        <v>23</v>
      </c>
      <c r="D432" t="s">
        <v>17</v>
      </c>
      <c r="E432" t="s">
        <v>21</v>
      </c>
      <c r="F432">
        <v>42</v>
      </c>
      <c r="G432">
        <v>6.19</v>
      </c>
      <c r="H432">
        <v>0.11</v>
      </c>
      <c r="I432">
        <v>0.84</v>
      </c>
      <c r="J432">
        <v>3.91</v>
      </c>
      <c r="K432">
        <v>2</v>
      </c>
      <c r="L432">
        <v>28.28</v>
      </c>
      <c r="M432">
        <f t="shared" si="12"/>
        <v>4.62</v>
      </c>
      <c r="N432">
        <f t="shared" si="13"/>
        <v>35.28</v>
      </c>
    </row>
    <row r="433" spans="1:14" x14ac:dyDescent="0.35">
      <c r="A433" t="s">
        <v>35</v>
      </c>
      <c r="B433" t="s">
        <v>32</v>
      </c>
      <c r="C433" t="s">
        <v>23</v>
      </c>
      <c r="D433" t="s">
        <v>18</v>
      </c>
      <c r="E433" t="s">
        <v>16</v>
      </c>
      <c r="F433">
        <v>37</v>
      </c>
      <c r="G433">
        <v>6.23</v>
      </c>
      <c r="H433">
        <v>0.05</v>
      </c>
      <c r="I433">
        <v>0.76</v>
      </c>
      <c r="J433">
        <v>4.24</v>
      </c>
      <c r="K433">
        <v>2</v>
      </c>
      <c r="L433">
        <v>28.34</v>
      </c>
      <c r="M433">
        <f t="shared" si="12"/>
        <v>1.85</v>
      </c>
      <c r="N433">
        <f t="shared" si="13"/>
        <v>28.12</v>
      </c>
    </row>
    <row r="434" spans="1:14" x14ac:dyDescent="0.35">
      <c r="A434" t="s">
        <v>35</v>
      </c>
      <c r="B434" t="s">
        <v>32</v>
      </c>
      <c r="C434" t="s">
        <v>24</v>
      </c>
      <c r="D434" t="s">
        <v>15</v>
      </c>
      <c r="E434" t="s">
        <v>21</v>
      </c>
      <c r="F434">
        <v>47</v>
      </c>
      <c r="G434">
        <v>5.34</v>
      </c>
      <c r="H434">
        <v>0.04</v>
      </c>
      <c r="I434">
        <v>0.75</v>
      </c>
      <c r="J434">
        <v>4.01</v>
      </c>
      <c r="K434">
        <v>0</v>
      </c>
      <c r="L434">
        <v>23.01</v>
      </c>
      <c r="M434">
        <f t="shared" si="12"/>
        <v>1.8800000000000001</v>
      </c>
      <c r="N434">
        <f t="shared" si="13"/>
        <v>35.25</v>
      </c>
    </row>
    <row r="435" spans="1:14" x14ac:dyDescent="0.35">
      <c r="A435" t="s">
        <v>35</v>
      </c>
      <c r="B435" t="s">
        <v>32</v>
      </c>
      <c r="C435" t="s">
        <v>24</v>
      </c>
      <c r="D435" t="s">
        <v>17</v>
      </c>
      <c r="E435" t="s">
        <v>16</v>
      </c>
      <c r="F435">
        <v>35</v>
      </c>
      <c r="G435">
        <v>5.5</v>
      </c>
      <c r="H435">
        <v>0.06</v>
      </c>
      <c r="I435">
        <v>0.86</v>
      </c>
      <c r="J435">
        <v>4.03</v>
      </c>
      <c r="K435">
        <v>0</v>
      </c>
      <c r="L435">
        <v>23.25</v>
      </c>
      <c r="M435">
        <f t="shared" si="12"/>
        <v>2.1</v>
      </c>
      <c r="N435">
        <f t="shared" si="13"/>
        <v>30.099999999999998</v>
      </c>
    </row>
    <row r="436" spans="1:14" x14ac:dyDescent="0.35">
      <c r="A436" t="s">
        <v>35</v>
      </c>
      <c r="B436" t="s">
        <v>32</v>
      </c>
      <c r="C436" t="s">
        <v>24</v>
      </c>
      <c r="D436" t="s">
        <v>18</v>
      </c>
      <c r="E436" t="s">
        <v>21</v>
      </c>
      <c r="F436">
        <v>79</v>
      </c>
      <c r="G436">
        <v>7.81</v>
      </c>
      <c r="H436">
        <v>0.06</v>
      </c>
      <c r="I436">
        <v>0.61</v>
      </c>
      <c r="J436">
        <v>3.99</v>
      </c>
      <c r="K436">
        <v>2</v>
      </c>
      <c r="L436">
        <v>30.72</v>
      </c>
      <c r="M436">
        <f t="shared" si="12"/>
        <v>4.74</v>
      </c>
      <c r="N436">
        <f t="shared" si="13"/>
        <v>48.19</v>
      </c>
    </row>
    <row r="437" spans="1:14" x14ac:dyDescent="0.35">
      <c r="A437" t="s">
        <v>35</v>
      </c>
      <c r="B437" t="s">
        <v>33</v>
      </c>
      <c r="C437" t="s">
        <v>14</v>
      </c>
      <c r="D437" t="s">
        <v>15</v>
      </c>
      <c r="E437" t="s">
        <v>16</v>
      </c>
      <c r="F437">
        <v>36</v>
      </c>
      <c r="G437">
        <v>5.34</v>
      </c>
      <c r="H437">
        <v>0.1</v>
      </c>
      <c r="I437">
        <v>0.78</v>
      </c>
      <c r="J437">
        <v>4.04</v>
      </c>
      <c r="K437">
        <v>1</v>
      </c>
      <c r="L437">
        <v>25.01</v>
      </c>
      <c r="M437">
        <f t="shared" si="12"/>
        <v>3.6</v>
      </c>
      <c r="N437">
        <f t="shared" si="13"/>
        <v>28.080000000000002</v>
      </c>
    </row>
    <row r="438" spans="1:14" x14ac:dyDescent="0.35">
      <c r="A438" t="s">
        <v>35</v>
      </c>
      <c r="B438" t="s">
        <v>33</v>
      </c>
      <c r="C438" t="s">
        <v>14</v>
      </c>
      <c r="D438" t="s">
        <v>17</v>
      </c>
      <c r="E438" t="s">
        <v>19</v>
      </c>
      <c r="F438">
        <v>58</v>
      </c>
      <c r="G438">
        <v>6.42</v>
      </c>
      <c r="H438">
        <v>0.28000000000000003</v>
      </c>
      <c r="I438">
        <v>0.75</v>
      </c>
      <c r="J438">
        <v>4.09</v>
      </c>
      <c r="K438">
        <v>3</v>
      </c>
      <c r="L438">
        <v>30.63</v>
      </c>
      <c r="M438">
        <f t="shared" si="12"/>
        <v>16.240000000000002</v>
      </c>
      <c r="N438">
        <f t="shared" si="13"/>
        <v>43.5</v>
      </c>
    </row>
    <row r="439" spans="1:14" x14ac:dyDescent="0.35">
      <c r="A439" t="s">
        <v>35</v>
      </c>
      <c r="B439" t="s">
        <v>33</v>
      </c>
      <c r="C439" t="s">
        <v>14</v>
      </c>
      <c r="D439" t="s">
        <v>18</v>
      </c>
      <c r="E439" t="s">
        <v>19</v>
      </c>
      <c r="F439">
        <v>34</v>
      </c>
      <c r="G439">
        <v>5.83</v>
      </c>
      <c r="H439">
        <v>0.28999999999999998</v>
      </c>
      <c r="I439">
        <v>0.74</v>
      </c>
      <c r="J439">
        <v>3.75</v>
      </c>
      <c r="K439">
        <v>0</v>
      </c>
      <c r="L439">
        <v>23.74</v>
      </c>
      <c r="M439">
        <f t="shared" si="12"/>
        <v>9.86</v>
      </c>
      <c r="N439">
        <f t="shared" si="13"/>
        <v>25.16</v>
      </c>
    </row>
    <row r="440" spans="1:14" x14ac:dyDescent="0.35">
      <c r="A440" t="s">
        <v>35</v>
      </c>
      <c r="B440" t="s">
        <v>33</v>
      </c>
      <c r="C440" t="s">
        <v>20</v>
      </c>
      <c r="D440" t="s">
        <v>15</v>
      </c>
      <c r="E440" t="s">
        <v>19</v>
      </c>
      <c r="F440">
        <v>78</v>
      </c>
      <c r="G440">
        <v>4.5</v>
      </c>
      <c r="H440">
        <v>0.1</v>
      </c>
      <c r="I440">
        <v>0.82</v>
      </c>
      <c r="J440">
        <v>3.85</v>
      </c>
      <c r="K440">
        <v>0</v>
      </c>
      <c r="L440">
        <v>21.75</v>
      </c>
      <c r="M440">
        <f t="shared" si="12"/>
        <v>7.8000000000000007</v>
      </c>
      <c r="N440">
        <f t="shared" si="13"/>
        <v>63.959999999999994</v>
      </c>
    </row>
    <row r="441" spans="1:14" x14ac:dyDescent="0.35">
      <c r="A441" t="s">
        <v>35</v>
      </c>
      <c r="B441" t="s">
        <v>33</v>
      </c>
      <c r="C441" t="s">
        <v>20</v>
      </c>
      <c r="D441" t="s">
        <v>17</v>
      </c>
      <c r="E441" t="s">
        <v>16</v>
      </c>
      <c r="F441">
        <v>51</v>
      </c>
      <c r="G441">
        <v>5.35</v>
      </c>
      <c r="H441">
        <v>0.04</v>
      </c>
      <c r="I441">
        <v>0.84</v>
      </c>
      <c r="J441">
        <v>3.72</v>
      </c>
      <c r="K441">
        <v>2</v>
      </c>
      <c r="L441">
        <v>27.02</v>
      </c>
      <c r="M441">
        <f t="shared" si="12"/>
        <v>2.04</v>
      </c>
      <c r="N441">
        <f t="shared" si="13"/>
        <v>42.839999999999996</v>
      </c>
    </row>
    <row r="442" spans="1:14" x14ac:dyDescent="0.35">
      <c r="A442" t="s">
        <v>35</v>
      </c>
      <c r="B442" t="s">
        <v>33</v>
      </c>
      <c r="C442" t="s">
        <v>20</v>
      </c>
      <c r="D442" t="s">
        <v>18</v>
      </c>
      <c r="E442" t="s">
        <v>19</v>
      </c>
      <c r="F442">
        <v>70</v>
      </c>
      <c r="G442">
        <v>6.2</v>
      </c>
      <c r="H442">
        <v>0.21</v>
      </c>
      <c r="I442">
        <v>0.76</v>
      </c>
      <c r="J442">
        <v>3.85</v>
      </c>
      <c r="K442">
        <v>0</v>
      </c>
      <c r="L442">
        <v>24.3</v>
      </c>
      <c r="M442">
        <f t="shared" si="12"/>
        <v>14.7</v>
      </c>
      <c r="N442">
        <f t="shared" si="13"/>
        <v>53.2</v>
      </c>
    </row>
    <row r="443" spans="1:14" x14ac:dyDescent="0.35">
      <c r="A443" t="s">
        <v>35</v>
      </c>
      <c r="B443" t="s">
        <v>33</v>
      </c>
      <c r="C443" t="s">
        <v>22</v>
      </c>
      <c r="D443" t="s">
        <v>15</v>
      </c>
      <c r="E443" t="s">
        <v>21</v>
      </c>
      <c r="F443">
        <v>44</v>
      </c>
      <c r="G443">
        <v>5.19</v>
      </c>
      <c r="H443">
        <v>0.09</v>
      </c>
      <c r="I443">
        <v>0.82</v>
      </c>
      <c r="J443">
        <v>4.37</v>
      </c>
      <c r="K443">
        <v>0</v>
      </c>
      <c r="L443">
        <v>22.78</v>
      </c>
      <c r="M443">
        <f t="shared" si="12"/>
        <v>3.96</v>
      </c>
      <c r="N443">
        <f t="shared" si="13"/>
        <v>36.08</v>
      </c>
    </row>
    <row r="444" spans="1:14" x14ac:dyDescent="0.35">
      <c r="A444" t="s">
        <v>35</v>
      </c>
      <c r="B444" t="s">
        <v>33</v>
      </c>
      <c r="C444" t="s">
        <v>22</v>
      </c>
      <c r="D444" t="s">
        <v>17</v>
      </c>
      <c r="E444" t="s">
        <v>16</v>
      </c>
      <c r="F444">
        <v>31</v>
      </c>
      <c r="G444">
        <v>5.79</v>
      </c>
      <c r="H444">
        <v>0.1</v>
      </c>
      <c r="I444">
        <v>0.86</v>
      </c>
      <c r="J444">
        <v>4.38</v>
      </c>
      <c r="K444">
        <v>0</v>
      </c>
      <c r="L444">
        <v>23.68</v>
      </c>
      <c r="M444">
        <f t="shared" si="12"/>
        <v>3.1</v>
      </c>
      <c r="N444">
        <f t="shared" si="13"/>
        <v>26.66</v>
      </c>
    </row>
    <row r="445" spans="1:14" x14ac:dyDescent="0.35">
      <c r="A445" t="s">
        <v>35</v>
      </c>
      <c r="B445" t="s">
        <v>33</v>
      </c>
      <c r="C445" t="s">
        <v>22</v>
      </c>
      <c r="D445" t="s">
        <v>18</v>
      </c>
      <c r="E445" t="s">
        <v>19</v>
      </c>
      <c r="F445">
        <v>33</v>
      </c>
      <c r="G445">
        <v>6.28</v>
      </c>
      <c r="H445">
        <v>0.28000000000000003</v>
      </c>
      <c r="I445">
        <v>0.74</v>
      </c>
      <c r="J445">
        <v>4.72</v>
      </c>
      <c r="K445">
        <v>0</v>
      </c>
      <c r="L445">
        <v>24.42</v>
      </c>
      <c r="M445">
        <f t="shared" si="12"/>
        <v>9.24</v>
      </c>
      <c r="N445">
        <f t="shared" si="13"/>
        <v>24.419999999999998</v>
      </c>
    </row>
    <row r="446" spans="1:14" x14ac:dyDescent="0.35">
      <c r="A446" t="s">
        <v>35</v>
      </c>
      <c r="B446" t="s">
        <v>33</v>
      </c>
      <c r="C446" t="s">
        <v>23</v>
      </c>
      <c r="D446" t="s">
        <v>15</v>
      </c>
      <c r="E446" t="s">
        <v>21</v>
      </c>
      <c r="F446">
        <v>75</v>
      </c>
      <c r="G446">
        <v>6.56</v>
      </c>
      <c r="H446">
        <v>0.15</v>
      </c>
      <c r="I446">
        <v>0.77</v>
      </c>
      <c r="J446">
        <v>3.51</v>
      </c>
      <c r="K446">
        <v>0</v>
      </c>
      <c r="L446">
        <v>24.84</v>
      </c>
      <c r="M446">
        <f t="shared" si="12"/>
        <v>11.25</v>
      </c>
      <c r="N446">
        <f t="shared" si="13"/>
        <v>57.75</v>
      </c>
    </row>
    <row r="447" spans="1:14" x14ac:dyDescent="0.35">
      <c r="A447" t="s">
        <v>35</v>
      </c>
      <c r="B447" t="s">
        <v>33</v>
      </c>
      <c r="C447" t="s">
        <v>23</v>
      </c>
      <c r="D447" t="s">
        <v>17</v>
      </c>
      <c r="E447" t="s">
        <v>19</v>
      </c>
      <c r="F447">
        <v>50</v>
      </c>
      <c r="G447">
        <v>4.9800000000000004</v>
      </c>
      <c r="H447">
        <v>0.28000000000000003</v>
      </c>
      <c r="I447">
        <v>0.82</v>
      </c>
      <c r="J447">
        <v>3.84</v>
      </c>
      <c r="K447">
        <v>0</v>
      </c>
      <c r="L447">
        <v>22.47</v>
      </c>
      <c r="M447">
        <f t="shared" si="12"/>
        <v>14.000000000000002</v>
      </c>
      <c r="N447">
        <f t="shared" si="13"/>
        <v>41</v>
      </c>
    </row>
    <row r="448" spans="1:14" x14ac:dyDescent="0.35">
      <c r="A448" t="s">
        <v>35</v>
      </c>
      <c r="B448" t="s">
        <v>33</v>
      </c>
      <c r="C448" t="s">
        <v>23</v>
      </c>
      <c r="D448" t="s">
        <v>18</v>
      </c>
      <c r="E448" t="s">
        <v>21</v>
      </c>
      <c r="F448">
        <v>55</v>
      </c>
      <c r="G448">
        <v>7.97</v>
      </c>
      <c r="H448">
        <v>0.11</v>
      </c>
      <c r="I448">
        <v>0.65</v>
      </c>
      <c r="J448">
        <v>4.3499999999999996</v>
      </c>
      <c r="K448">
        <v>2</v>
      </c>
      <c r="L448">
        <v>30.96</v>
      </c>
      <c r="M448">
        <f t="shared" si="12"/>
        <v>6.05</v>
      </c>
      <c r="N448">
        <f t="shared" si="13"/>
        <v>35.75</v>
      </c>
    </row>
    <row r="449" spans="1:14" x14ac:dyDescent="0.35">
      <c r="A449" t="s">
        <v>35</v>
      </c>
      <c r="B449" t="s">
        <v>33</v>
      </c>
      <c r="C449" t="s">
        <v>24</v>
      </c>
      <c r="D449" t="s">
        <v>15</v>
      </c>
      <c r="E449" t="s">
        <v>19</v>
      </c>
      <c r="F449">
        <v>76</v>
      </c>
      <c r="G449">
        <v>6.54</v>
      </c>
      <c r="H449">
        <v>0.06</v>
      </c>
      <c r="I449">
        <v>0.8</v>
      </c>
      <c r="J449">
        <v>3.52</v>
      </c>
      <c r="K449">
        <v>0</v>
      </c>
      <c r="L449">
        <v>24.81</v>
      </c>
      <c r="M449">
        <f t="shared" si="12"/>
        <v>4.5599999999999996</v>
      </c>
      <c r="N449">
        <f t="shared" si="13"/>
        <v>60.800000000000004</v>
      </c>
    </row>
    <row r="450" spans="1:14" x14ac:dyDescent="0.35">
      <c r="A450" t="s">
        <v>35</v>
      </c>
      <c r="B450" t="s">
        <v>33</v>
      </c>
      <c r="C450" t="s">
        <v>24</v>
      </c>
      <c r="D450" t="s">
        <v>17</v>
      </c>
      <c r="E450" t="s">
        <v>21</v>
      </c>
      <c r="F450">
        <v>40</v>
      </c>
      <c r="G450">
        <v>7.71</v>
      </c>
      <c r="H450">
        <v>0.1</v>
      </c>
      <c r="I450">
        <v>0.85</v>
      </c>
      <c r="J450">
        <v>3.61</v>
      </c>
      <c r="K450">
        <v>3</v>
      </c>
      <c r="L450">
        <v>32.56</v>
      </c>
      <c r="M450">
        <f t="shared" si="12"/>
        <v>4</v>
      </c>
      <c r="N450">
        <f t="shared" si="13"/>
        <v>34</v>
      </c>
    </row>
    <row r="451" spans="1:14" x14ac:dyDescent="0.35">
      <c r="A451" t="s">
        <v>35</v>
      </c>
      <c r="B451" t="s">
        <v>33</v>
      </c>
      <c r="C451" t="s">
        <v>24</v>
      </c>
      <c r="D451" t="s">
        <v>18</v>
      </c>
      <c r="E451" t="s">
        <v>21</v>
      </c>
      <c r="F451">
        <v>67</v>
      </c>
      <c r="G451">
        <v>5.7</v>
      </c>
      <c r="H451">
        <v>7.0000000000000007E-2</v>
      </c>
      <c r="I451">
        <v>0.72</v>
      </c>
      <c r="J451">
        <v>3.87</v>
      </c>
      <c r="K451">
        <v>1</v>
      </c>
      <c r="L451">
        <v>25.55</v>
      </c>
      <c r="M451">
        <f t="shared" ref="M451" si="14">SUM(F451*H451)</f>
        <v>4.6900000000000004</v>
      </c>
      <c r="N451">
        <f t="shared" ref="N451" si="15">SUM(I451*F451)</f>
        <v>48.239999999999995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6309A-E047-49F9-8E85-0C276162138D}">
  <dimension ref="A1:M99"/>
  <sheetViews>
    <sheetView showGridLines="0" tabSelected="1" zoomScale="89" workbookViewId="0">
      <selection activeCell="J100" sqref="J100"/>
    </sheetView>
  </sheetViews>
  <sheetFormatPr defaultRowHeight="14.5" x14ac:dyDescent="0.35"/>
  <cols>
    <col min="1" max="1" width="11.08984375" bestFit="1" customWidth="1"/>
    <col min="2" max="2" width="19.08984375" bestFit="1" customWidth="1"/>
    <col min="3" max="3" width="19.81640625" customWidth="1"/>
    <col min="4" max="4" width="21.81640625" customWidth="1"/>
    <col min="5" max="5" width="20.54296875" customWidth="1"/>
    <col min="6" max="6" width="18.08984375" customWidth="1"/>
    <col min="7" max="7" width="22.453125" customWidth="1"/>
    <col min="8" max="8" width="14.1796875" customWidth="1"/>
    <col min="9" max="9" width="17.90625" customWidth="1"/>
    <col min="10" max="10" width="17.26953125" customWidth="1"/>
    <col min="11" max="11" width="12.36328125" customWidth="1"/>
  </cols>
  <sheetData>
    <row r="1" spans="1:13" x14ac:dyDescent="0.35">
      <c r="A1" s="12"/>
      <c r="B1" s="12"/>
      <c r="C1" s="12"/>
      <c r="D1" s="12"/>
      <c r="E1" s="12"/>
      <c r="F1" s="12"/>
      <c r="G1" s="12"/>
      <c r="H1" s="12"/>
      <c r="I1" s="12"/>
      <c r="J1" s="12"/>
      <c r="K1" s="12"/>
      <c r="L1" s="12"/>
      <c r="M1" s="12"/>
    </row>
    <row r="2" spans="1:13" ht="21" x14ac:dyDescent="0.5">
      <c r="A2" s="12"/>
      <c r="B2" s="12"/>
      <c r="C2" s="12"/>
      <c r="D2" s="12"/>
      <c r="E2" s="12"/>
      <c r="F2" s="13"/>
      <c r="G2" s="14"/>
      <c r="H2" s="12"/>
      <c r="I2" s="12"/>
      <c r="J2" s="12"/>
      <c r="K2" s="12"/>
      <c r="L2" s="12"/>
      <c r="M2" s="12"/>
    </row>
    <row r="3" spans="1:13" ht="23" x14ac:dyDescent="0.55000000000000004">
      <c r="A3" s="12"/>
      <c r="B3" s="12"/>
      <c r="C3" s="12"/>
      <c r="D3" s="12"/>
      <c r="E3" s="15" t="s">
        <v>69</v>
      </c>
      <c r="F3" s="16"/>
      <c r="G3" s="16"/>
      <c r="H3" s="12"/>
      <c r="I3" s="12"/>
      <c r="J3" s="12"/>
      <c r="K3" s="12"/>
      <c r="L3" s="12"/>
      <c r="M3" s="12"/>
    </row>
    <row r="4" spans="1:13" ht="16" x14ac:dyDescent="0.4">
      <c r="A4" s="12"/>
      <c r="B4" s="12"/>
      <c r="C4" s="12"/>
      <c r="D4" s="12"/>
      <c r="E4" s="16"/>
      <c r="F4" s="16"/>
      <c r="G4" s="16"/>
      <c r="H4" s="12"/>
      <c r="I4" s="12"/>
      <c r="J4" s="12"/>
      <c r="K4" s="12"/>
      <c r="L4" s="12"/>
      <c r="M4" s="12"/>
    </row>
    <row r="5" spans="1:13" ht="15.5" x14ac:dyDescent="0.35">
      <c r="A5" s="12"/>
      <c r="B5" s="17"/>
      <c r="C5" s="12"/>
      <c r="D5" s="12"/>
      <c r="E5" s="18"/>
      <c r="F5" s="18"/>
      <c r="G5" s="12"/>
      <c r="H5" s="12"/>
      <c r="I5" s="12"/>
      <c r="J5" s="12"/>
      <c r="K5" s="12"/>
      <c r="L5" s="12"/>
      <c r="M5" s="12"/>
    </row>
    <row r="6" spans="1:13" ht="15.5" x14ac:dyDescent="0.35">
      <c r="A6" s="8" t="s">
        <v>37</v>
      </c>
      <c r="E6" s="4" t="s">
        <v>40</v>
      </c>
    </row>
    <row r="7" spans="1:13" x14ac:dyDescent="0.35">
      <c r="A7" s="2" t="s">
        <v>3</v>
      </c>
      <c r="B7" t="s">
        <v>43</v>
      </c>
      <c r="H7" s="10" t="s">
        <v>62</v>
      </c>
      <c r="I7" s="10"/>
      <c r="J7" s="11"/>
      <c r="K7" s="11"/>
      <c r="L7" s="11"/>
    </row>
    <row r="8" spans="1:13" x14ac:dyDescent="0.35">
      <c r="A8" s="3" t="s">
        <v>18</v>
      </c>
      <c r="B8" s="19">
        <v>7918</v>
      </c>
      <c r="H8" s="10" t="s">
        <v>63</v>
      </c>
      <c r="I8" s="10"/>
      <c r="J8" s="11"/>
      <c r="K8" s="11"/>
      <c r="L8" s="11"/>
    </row>
    <row r="9" spans="1:13" x14ac:dyDescent="0.35">
      <c r="A9" s="3" t="s">
        <v>17</v>
      </c>
      <c r="B9" s="19">
        <v>7989</v>
      </c>
      <c r="H9" s="10" t="s">
        <v>64</v>
      </c>
      <c r="I9" s="10"/>
      <c r="J9" s="11"/>
      <c r="K9" s="11"/>
      <c r="L9" s="11"/>
    </row>
    <row r="10" spans="1:13" x14ac:dyDescent="0.35">
      <c r="A10" s="3" t="s">
        <v>15</v>
      </c>
      <c r="B10" s="19">
        <v>8431</v>
      </c>
      <c r="H10" s="10"/>
      <c r="I10" s="10"/>
      <c r="J10" s="11"/>
      <c r="K10" s="11"/>
      <c r="L10" s="11"/>
    </row>
    <row r="11" spans="1:13" x14ac:dyDescent="0.35">
      <c r="A11" s="3" t="s">
        <v>36</v>
      </c>
      <c r="B11" s="19">
        <v>24338</v>
      </c>
      <c r="H11" s="10" t="s">
        <v>57</v>
      </c>
      <c r="I11" s="10"/>
      <c r="J11" s="11"/>
      <c r="K11" s="11"/>
      <c r="L11" s="11"/>
    </row>
    <row r="12" spans="1:13" x14ac:dyDescent="0.35">
      <c r="H12" s="10" t="s">
        <v>58</v>
      </c>
      <c r="I12" s="10"/>
      <c r="J12" s="11"/>
      <c r="K12" s="11"/>
      <c r="L12" s="11"/>
    </row>
    <row r="19" spans="1:5" x14ac:dyDescent="0.35">
      <c r="B19" s="4"/>
      <c r="E19" s="4" t="s">
        <v>41</v>
      </c>
    </row>
    <row r="20" spans="1:5" x14ac:dyDescent="0.35">
      <c r="A20" s="9" t="s">
        <v>38</v>
      </c>
    </row>
    <row r="21" spans="1:5" x14ac:dyDescent="0.35">
      <c r="A21" s="2" t="s">
        <v>3</v>
      </c>
      <c r="B21" t="s">
        <v>46</v>
      </c>
    </row>
    <row r="22" spans="1:5" x14ac:dyDescent="0.35">
      <c r="A22" s="3" t="s">
        <v>15</v>
      </c>
      <c r="B22" s="19">
        <v>94</v>
      </c>
    </row>
    <row r="23" spans="1:5" x14ac:dyDescent="0.35">
      <c r="A23" s="3" t="s">
        <v>18</v>
      </c>
      <c r="B23" s="19">
        <v>95</v>
      </c>
    </row>
    <row r="24" spans="1:5" x14ac:dyDescent="0.35">
      <c r="A24" s="3" t="s">
        <v>17</v>
      </c>
      <c r="B24" s="19">
        <v>101</v>
      </c>
    </row>
    <row r="25" spans="1:5" x14ac:dyDescent="0.35">
      <c r="A25" s="3" t="s">
        <v>36</v>
      </c>
      <c r="B25" s="19">
        <v>290</v>
      </c>
    </row>
    <row r="34" spans="1:6" x14ac:dyDescent="0.35">
      <c r="B34" s="4"/>
    </row>
    <row r="36" spans="1:6" x14ac:dyDescent="0.35">
      <c r="B36" s="4" t="s">
        <v>39</v>
      </c>
      <c r="F36" s="4" t="s">
        <v>68</v>
      </c>
    </row>
    <row r="37" spans="1:6" x14ac:dyDescent="0.35">
      <c r="A37" s="2" t="s">
        <v>0</v>
      </c>
      <c r="B37" t="s">
        <v>55</v>
      </c>
      <c r="C37" t="s">
        <v>56</v>
      </c>
      <c r="D37" t="s">
        <v>59</v>
      </c>
    </row>
    <row r="38" spans="1:6" x14ac:dyDescent="0.35">
      <c r="A38" s="3" t="s">
        <v>35</v>
      </c>
      <c r="B38">
        <v>897.36999999999966</v>
      </c>
      <c r="C38">
        <v>8229</v>
      </c>
      <c r="D38" s="5">
        <v>25.240333333333336</v>
      </c>
    </row>
    <row r="39" spans="1:6" x14ac:dyDescent="0.35">
      <c r="A39" s="3" t="s">
        <v>34</v>
      </c>
      <c r="B39">
        <v>1128.5600000000002</v>
      </c>
      <c r="C39">
        <v>8082</v>
      </c>
      <c r="D39" s="5">
        <v>27.565799999999999</v>
      </c>
    </row>
    <row r="40" spans="1:6" x14ac:dyDescent="0.35">
      <c r="A40" s="3" t="s">
        <v>12</v>
      </c>
      <c r="B40">
        <v>909.37999999999988</v>
      </c>
      <c r="C40">
        <v>8027</v>
      </c>
      <c r="D40" s="5">
        <v>25.413866666666671</v>
      </c>
    </row>
    <row r="53" spans="2:11" x14ac:dyDescent="0.35">
      <c r="C53" s="4" t="s">
        <v>70</v>
      </c>
    </row>
    <row r="55" spans="2:11" x14ac:dyDescent="0.35">
      <c r="B55" t="s">
        <v>0</v>
      </c>
      <c r="C55" t="s">
        <v>60</v>
      </c>
      <c r="D55" t="s">
        <v>54</v>
      </c>
      <c r="E55" t="s">
        <v>61</v>
      </c>
      <c r="F55" t="s">
        <v>49</v>
      </c>
      <c r="G55" t="s">
        <v>65</v>
      </c>
      <c r="H55" t="s">
        <v>66</v>
      </c>
      <c r="I55" t="s">
        <v>67</v>
      </c>
    </row>
    <row r="56" spans="2:11" x14ac:dyDescent="0.35">
      <c r="B56" t="s">
        <v>12</v>
      </c>
      <c r="C56">
        <f>SUMIF(Raw!A:A,Table14[[#This Row],[Team]],Raw!F:F)</f>
        <v>8027</v>
      </c>
      <c r="D56" s="5">
        <f>AVERAGEIF(Raw!A:A,Table14[[#This Row],[Team]],Raw!G:G)</f>
        <v>6.0625333333333327</v>
      </c>
      <c r="E56" s="5">
        <f>AVERAGEIF(Raw!A:A,Table14[[#This Row],[Team]],Raw!L:L)</f>
        <v>25.413866666666671</v>
      </c>
      <c r="F56" s="5">
        <f>SUMIF(Raw!A:A,Table14[[#This Row],[Team]],Raw!M:M)</f>
        <v>944.22000000000037</v>
      </c>
      <c r="G56" s="5">
        <f>Table14[[#This Row],[Total Escalations]]/Table14[[#This Row],[Total Calls Handled]]*100</f>
        <v>11.763049707238075</v>
      </c>
      <c r="H56">
        <f>SUMIF(Raw!A:A,Table14[[#This Row],[Team]],Raw!N:N)</f>
        <v>6361.3100000000013</v>
      </c>
      <c r="I56" s="5">
        <f>Table14[[#This Row],[Overall FCR Rate]]/Table14[[#This Row],[Total Calls Handled]]*100</f>
        <v>79.248909928989676</v>
      </c>
    </row>
    <row r="57" spans="2:11" x14ac:dyDescent="0.35">
      <c r="B57" t="s">
        <v>34</v>
      </c>
      <c r="C57">
        <f>SUMIF(Raw!A:A,Table14[[#This Row],[Team]],Raw!F:F)</f>
        <v>8082</v>
      </c>
      <c r="D57" s="5">
        <f>AVERAGEIF(Raw!A:A,Table14[[#This Row],[Team]],Raw!G:G)</f>
        <v>7.5237333333333343</v>
      </c>
      <c r="E57" s="5">
        <f>AVERAGEIF(Raw!A:A,Table14[[#This Row],[Team]],Raw!L:L)</f>
        <v>27.565799999999999</v>
      </c>
      <c r="F57" s="5">
        <f>SUMIF(Raw!A:A,Table14[[#This Row],[Team]],Raw!M:M)</f>
        <v>855.39999999999975</v>
      </c>
      <c r="G57" s="5">
        <f>Table14[[#This Row],[Total Escalations]]/Table14[[#This Row],[Total Calls Handled]]*100</f>
        <v>10.584013857955949</v>
      </c>
      <c r="H57">
        <f>SUMIF(Raw!A:A,Table14[[#This Row],[Team]],Raw!N:N)</f>
        <v>6456.369999999999</v>
      </c>
      <c r="I57" s="5">
        <f>Table14[[#This Row],[Overall FCR Rate]]/Table14[[#This Row],[Total Calls Handled]]*100</f>
        <v>79.885795595149702</v>
      </c>
    </row>
    <row r="58" spans="2:11" x14ac:dyDescent="0.35">
      <c r="B58" t="s">
        <v>35</v>
      </c>
      <c r="C58">
        <f>SUMIF(Raw!A:A,Table14[[#This Row],[Team]],Raw!F:F)</f>
        <v>8229</v>
      </c>
      <c r="D58" s="5">
        <f>AVERAGEIF(Raw!A:A,Table14[[#This Row],[Team]],Raw!G:G)</f>
        <v>5.9824666666666646</v>
      </c>
      <c r="E58" s="5">
        <f>AVERAGEIF(Raw!A:A,Table14[[#This Row],[Team]],Raw!L:L)</f>
        <v>25.240333333333336</v>
      </c>
      <c r="F58" s="5">
        <f>SUMIF(Raw!A:A,Table14[[#This Row],[Team]],Raw!M:M)</f>
        <v>927.18000000000018</v>
      </c>
      <c r="G58" s="5">
        <f>Table14[[#This Row],[Total Escalations]]/Table14[[#This Row],[Total Calls Handled]]*100</f>
        <v>11.267225665329933</v>
      </c>
      <c r="H58">
        <f>SUMIF(Raw!A:A,Table14[[#This Row],[Team]],Raw!N:N)</f>
        <v>6440.8499999999958</v>
      </c>
      <c r="I58" s="5">
        <f>Table14[[#This Row],[Overall FCR Rate]]/Table14[[#This Row],[Total Calls Handled]]*100</f>
        <v>78.270142180094737</v>
      </c>
    </row>
    <row r="61" spans="2:11" x14ac:dyDescent="0.35">
      <c r="C61" s="4" t="s">
        <v>71</v>
      </c>
    </row>
    <row r="63" spans="2:11" x14ac:dyDescent="0.35">
      <c r="B63" t="s">
        <v>0</v>
      </c>
      <c r="C63" t="s">
        <v>42</v>
      </c>
      <c r="D63" t="s">
        <v>45</v>
      </c>
      <c r="E63" t="s">
        <v>54</v>
      </c>
      <c r="F63" t="s">
        <v>48</v>
      </c>
      <c r="G63" t="s">
        <v>50</v>
      </c>
      <c r="H63" t="s">
        <v>52</v>
      </c>
      <c r="I63" t="s">
        <v>51</v>
      </c>
      <c r="J63" t="s">
        <v>53</v>
      </c>
      <c r="K63" t="s">
        <v>47</v>
      </c>
    </row>
    <row r="64" spans="2:11" x14ac:dyDescent="0.35">
      <c r="B64" t="s">
        <v>34</v>
      </c>
      <c r="C64" t="s">
        <v>33</v>
      </c>
      <c r="D64">
        <f>SUMIFS(Raw!F:F, Raw!A:A, Table2185[[#This Row],[Team]], Raw!B:B, Table2185[[#This Row],[Agent]])</f>
        <v>771</v>
      </c>
      <c r="E64" s="7">
        <f>SUMIFS(Raw!G:G,Raw!A:A,Table2185[[#This Row],[Team]],Raw!B:B,Table2185[[#This Row],[Agent]])</f>
        <v>105.11</v>
      </c>
      <c r="F64" s="5">
        <f>AVERAGEIFS(Raw!L:L,Raw!A:A,B64,Raw!B:B,Table2185[[#This Row],[Agent]])</f>
        <v>26.710666666666668</v>
      </c>
      <c r="G64" s="5">
        <f>SUMIFS(Raw!M:M,Raw!A:A,Table2185[[#This Row],[Team]],Raw!B:B,Table2185[[#This Row],[Agent]])</f>
        <v>67.64</v>
      </c>
      <c r="H64" s="5">
        <f>(Table2185[[#This Row],[Num Escalations]]/Table2185[[#This Row],[Total calls Handled]])</f>
        <v>8.7730220492866412E-2</v>
      </c>
      <c r="I64" s="5">
        <f>SUMIFS(Raw!N:N,Raw!A:A,Table2185[[#This Row],[Team]],Raw!B:B,Table2185[[#This Row],[Agent]])</f>
        <v>635.76</v>
      </c>
      <c r="J64" s="5">
        <f>Table2185[[#This Row],[Num FCR]]/Table2185[[#This Row],[Total calls Handled]]</f>
        <v>0.82459143968871595</v>
      </c>
      <c r="K64" s="5">
        <f>AVERAGEIFS(Raw!J:J,Raw!A:A,Table2185[[#This Row],[Team]],Raw!B:B,Table2185[[#This Row],[Agent]])</f>
        <v>4.0680000000000005</v>
      </c>
    </row>
    <row r="65" spans="2:11" x14ac:dyDescent="0.35">
      <c r="B65" t="s">
        <v>12</v>
      </c>
      <c r="C65" t="s">
        <v>25</v>
      </c>
      <c r="D65">
        <f>SUMIFS(Raw!F:F, Raw!A:A, Table2185[[#This Row],[Team]], Raw!B:B, Table2185[[#This Row],[Agent]])</f>
        <v>830</v>
      </c>
      <c r="E65" s="7">
        <f>SUMIFS(Raw!G:G,Raw!A:A,Table2185[[#This Row],[Team]],Raw!B:B,Table2185[[#This Row],[Agent]])</f>
        <v>91.570000000000007</v>
      </c>
      <c r="F65" s="5">
        <f>AVERAGEIFS(Raw!L:L,Raw!A:A,B66,Raw!B:B,Table2185[[#This Row],[Agent]])</f>
        <v>27.233333333333331</v>
      </c>
      <c r="G65" s="5">
        <f>SUMIFS(Raw!M:M,Raw!A:A,Table2185[[#This Row],[Team]],Raw!B:B,Table2185[[#This Row],[Agent]])</f>
        <v>84.100000000000009</v>
      </c>
      <c r="H65" s="5">
        <f>(Table2185[[#This Row],[Num Escalations]]/Table2185[[#This Row],[Total calls Handled]])</f>
        <v>0.10132530120481929</v>
      </c>
      <c r="I65" s="5">
        <f>SUMIFS(Raw!N:N,Raw!A:A,Table2185[[#This Row],[Team]],Raw!B:B,Table2185[[#This Row],[Agent]])</f>
        <v>682.11</v>
      </c>
      <c r="J65" s="5">
        <f>Table2185[[#This Row],[Num FCR]]/Table2185[[#This Row],[Total calls Handled]]</f>
        <v>0.82181927710843372</v>
      </c>
      <c r="K65" s="5">
        <f>AVERAGEIFS(Raw!J:J,Raw!A:A,Table2185[[#This Row],[Team]],Raw!B:B,Table2185[[#This Row],[Agent]])</f>
        <v>4.211333333333334</v>
      </c>
    </row>
    <row r="66" spans="2:11" x14ac:dyDescent="0.35">
      <c r="B66" t="s">
        <v>34</v>
      </c>
      <c r="C66" t="s">
        <v>13</v>
      </c>
      <c r="D66">
        <f>SUMIFS(Raw!F:F, Raw!A:A, Table2185[[#This Row],[Team]], Raw!B:B, Table2185[[#This Row],[Agent]])</f>
        <v>844</v>
      </c>
      <c r="E66" s="7">
        <f>SUMIFS(Raw!G:G,Raw!A:A,Table2185[[#This Row],[Team]],Raw!B:B,Table2185[[#This Row],[Agent]])</f>
        <v>110.39999999999999</v>
      </c>
      <c r="F66" s="5">
        <f>AVERAGEIFS(Raw!L:L,Raw!A:A,B66,Raw!B:B,Table2185[[#This Row],[Agent]])</f>
        <v>27.774000000000001</v>
      </c>
      <c r="G66" s="5">
        <f>SUMIFS(Raw!M:M,Raw!A:A,Table2185[[#This Row],[Team]],Raw!B:B,Table2185[[#This Row],[Agent]])</f>
        <v>109.87</v>
      </c>
      <c r="H66" s="5">
        <f>(Table2185[[#This Row],[Num Escalations]]/Table2185[[#This Row],[Total calls Handled]])</f>
        <v>0.13017772511848341</v>
      </c>
      <c r="I66" s="5">
        <f>SUMIFS(Raw!N:N,Raw!A:A,Table2185[[#This Row],[Team]],Raw!B:B,Table2185[[#This Row],[Agent]])</f>
        <v>687.12000000000012</v>
      </c>
      <c r="J66" s="5">
        <f>Table2185[[#This Row],[Num FCR]]/Table2185[[#This Row],[Total calls Handled]]</f>
        <v>0.81412322274881532</v>
      </c>
      <c r="K66" s="5">
        <f>AVERAGEIFS(Raw!J:J,Raw!A:A,Table2185[[#This Row],[Team]],Raw!B:B,Table2185[[#This Row],[Agent]])</f>
        <v>4.1639999999999997</v>
      </c>
    </row>
    <row r="67" spans="2:11" x14ac:dyDescent="0.35">
      <c r="B67" t="s">
        <v>35</v>
      </c>
      <c r="C67" t="s">
        <v>27</v>
      </c>
      <c r="D67">
        <f>SUMIFS(Raw!F:F, Raw!A:A, Table2185[[#This Row],[Team]], Raw!B:B, Table2185[[#This Row],[Agent]])</f>
        <v>915</v>
      </c>
      <c r="E67" s="7">
        <f>SUMIFS(Raw!G:G,Raw!A:A,Table2185[[#This Row],[Team]],Raw!B:B,Table2185[[#This Row],[Agent]])</f>
        <v>91.36999999999999</v>
      </c>
      <c r="F67" s="5">
        <f>AVERAGEIFS(Raw!L:L,Raw!A:A,B67,Raw!B:B,Table2185[[#This Row],[Agent]])</f>
        <v>25.336666666666666</v>
      </c>
      <c r="G67" s="5">
        <f>SUMIFS(Raw!M:M,Raw!A:A,Table2185[[#This Row],[Team]],Raw!B:B,Table2185[[#This Row],[Agent]])</f>
        <v>92.500000000000014</v>
      </c>
      <c r="H67" s="5">
        <f>(Table2185[[#This Row],[Num Escalations]]/Table2185[[#This Row],[Total calls Handled]])</f>
        <v>0.1010928961748634</v>
      </c>
      <c r="I67" s="5">
        <f>SUMIFS(Raw!N:N,Raw!A:A,Table2185[[#This Row],[Team]],Raw!B:B,Table2185[[#This Row],[Agent]])</f>
        <v>741.16</v>
      </c>
      <c r="J67" s="5">
        <f>Table2185[[#This Row],[Num FCR]]/Table2185[[#This Row],[Total calls Handled]]</f>
        <v>0.81001092896174864</v>
      </c>
      <c r="K67" s="5">
        <f>AVERAGEIFS(Raw!J:J,Raw!A:A,Table2185[[#This Row],[Team]],Raw!B:B,Table2185[[#This Row],[Agent]])</f>
        <v>4.2640000000000002</v>
      </c>
    </row>
    <row r="68" spans="2:11" x14ac:dyDescent="0.35">
      <c r="B68" t="s">
        <v>34</v>
      </c>
      <c r="C68" t="s">
        <v>28</v>
      </c>
      <c r="D68">
        <f>SUMIFS(Raw!F:F, Raw!A:A, Table2185[[#This Row],[Team]], Raw!B:B, Table2185[[#This Row],[Agent]])</f>
        <v>803</v>
      </c>
      <c r="E68" s="7">
        <f>SUMIFS(Raw!G:G,Raw!A:A,Table2185[[#This Row],[Team]],Raw!B:B,Table2185[[#This Row],[Agent]])</f>
        <v>115.22</v>
      </c>
      <c r="F68" s="5">
        <f>AVERAGEIFS(Raw!L:L,Raw!A:A,B68,Raw!B:B,Table2185[[#This Row],[Agent]])</f>
        <v>28.255333333333333</v>
      </c>
      <c r="G68" s="5">
        <f>SUMIFS(Raw!M:M,Raw!A:A,Table2185[[#This Row],[Team]],Raw!B:B,Table2185[[#This Row],[Agent]])</f>
        <v>99.23</v>
      </c>
      <c r="H68" s="5">
        <f>(Table2185[[#This Row],[Num Escalations]]/Table2185[[#This Row],[Total calls Handled]])</f>
        <v>0.12357409713574098</v>
      </c>
      <c r="I68" s="5">
        <f>SUMIFS(Raw!N:N,Raw!A:A,Table2185[[#This Row],[Team]],Raw!B:B,Table2185[[#This Row],[Agent]])</f>
        <v>650.00000000000011</v>
      </c>
      <c r="J68" s="5">
        <f>Table2185[[#This Row],[Num FCR]]/Table2185[[#This Row],[Total calls Handled]]</f>
        <v>0.80946450809464521</v>
      </c>
      <c r="K68" s="5">
        <f>AVERAGEIFS(Raw!J:J,Raw!A:A,Table2185[[#This Row],[Team]],Raw!B:B,Table2185[[#This Row],[Agent]])</f>
        <v>4.1513333333333327</v>
      </c>
    </row>
    <row r="69" spans="2:11" x14ac:dyDescent="0.35">
      <c r="B69" t="s">
        <v>34</v>
      </c>
      <c r="C69" t="s">
        <v>32</v>
      </c>
      <c r="D69">
        <f>SUMIFS(Raw!F:F, Raw!A:A, Table2185[[#This Row],[Team]], Raw!B:B, Table2185[[#This Row],[Agent]])</f>
        <v>755</v>
      </c>
      <c r="E69" s="7">
        <f>SUMIFS(Raw!G:G,Raw!A:A,Table2185[[#This Row],[Team]],Raw!B:B,Table2185[[#This Row],[Agent]])</f>
        <v>119.08999999999999</v>
      </c>
      <c r="F69" s="5">
        <f>AVERAGEIFS(Raw!L:L,Raw!A:A,B69,Raw!B:B,Table2185[[#This Row],[Agent]])</f>
        <v>28.11</v>
      </c>
      <c r="G69" s="5">
        <f>SUMIFS(Raw!M:M,Raw!A:A,Table2185[[#This Row],[Team]],Raw!B:B,Table2185[[#This Row],[Agent]])</f>
        <v>75.610000000000014</v>
      </c>
      <c r="H69" s="5">
        <f>(Table2185[[#This Row],[Num Escalations]]/Table2185[[#This Row],[Total calls Handled]])</f>
        <v>0.10014569536423842</v>
      </c>
      <c r="I69" s="5">
        <f>SUMIFS(Raw!N:N,Raw!A:A,Table2185[[#This Row],[Team]],Raw!B:B,Table2185[[#This Row],[Agent]])</f>
        <v>610.29</v>
      </c>
      <c r="J69" s="5">
        <f>Table2185[[#This Row],[Num FCR]]/Table2185[[#This Row],[Total calls Handled]]</f>
        <v>0.80833112582781452</v>
      </c>
      <c r="K69" s="5">
        <f>AVERAGEIFS(Raw!J:J,Raw!A:A,Table2185[[#This Row],[Team]],Raw!B:B,Table2185[[#This Row],[Agent]])</f>
        <v>4.1260000000000003</v>
      </c>
    </row>
    <row r="70" spans="2:11" x14ac:dyDescent="0.35">
      <c r="B70" t="s">
        <v>12</v>
      </c>
      <c r="C70" t="s">
        <v>30</v>
      </c>
      <c r="D70">
        <f>SUMIFS(Raw!F:F, Raw!A:A, Table2185[[#This Row],[Team]], Raw!B:B, Table2185[[#This Row],[Agent]])</f>
        <v>697</v>
      </c>
      <c r="E70" s="7">
        <f>SUMIFS(Raw!G:G,Raw!A:A,Table2185[[#This Row],[Team]],Raw!B:B,Table2185[[#This Row],[Agent]])</f>
        <v>96.38</v>
      </c>
      <c r="F70" s="5">
        <f>AVERAGEIFS(Raw!L:L,Raw!A:A,B71,Raw!B:B,Table2185[[#This Row],[Agent]])</f>
        <v>25.171333333333333</v>
      </c>
      <c r="G70" s="5">
        <f>SUMIFS(Raw!M:M,Raw!A:A,Table2185[[#This Row],[Team]],Raw!B:B,Table2185[[#This Row],[Agent]])</f>
        <v>70.739999999999995</v>
      </c>
      <c r="H70" s="5">
        <f>(Table2185[[#This Row],[Num Escalations]]/Table2185[[#This Row],[Total calls Handled]])</f>
        <v>0.10149210903873744</v>
      </c>
      <c r="I70" s="5">
        <f>SUMIFS(Raw!N:N,Raw!A:A,Table2185[[#This Row],[Team]],Raw!B:B,Table2185[[#This Row],[Agent]])</f>
        <v>562.96</v>
      </c>
      <c r="J70" s="5">
        <f>Table2185[[#This Row],[Num FCR]]/Table2185[[#This Row],[Total calls Handled]]</f>
        <v>0.80769010043041611</v>
      </c>
      <c r="K70" s="5">
        <f>AVERAGEIFS(Raw!J:J,Raw!A:A,Table2185[[#This Row],[Team]],Raw!B:B,Table2185[[#This Row],[Agent]])</f>
        <v>4.1406666666666663</v>
      </c>
    </row>
    <row r="71" spans="2:11" x14ac:dyDescent="0.35">
      <c r="B71" t="s">
        <v>12</v>
      </c>
      <c r="C71" t="s">
        <v>29</v>
      </c>
      <c r="D71">
        <f>SUMIFS(Raw!F:F, Raw!A:A, Table2185[[#This Row],[Team]], Raw!B:B, Table2185[[#This Row],[Agent]])</f>
        <v>841</v>
      </c>
      <c r="E71" s="7">
        <f>SUMIFS(Raw!G:G,Raw!A:A,Table2185[[#This Row],[Team]],Raw!B:B,Table2185[[#This Row],[Agent]])</f>
        <v>89.850000000000023</v>
      </c>
      <c r="F71" s="5">
        <f>AVERAGEIFS(Raw!L:L,Raw!A:A,B72,Raw!B:B,Table2185[[#This Row],[Agent]])</f>
        <v>27.747999999999998</v>
      </c>
      <c r="G71" s="5">
        <f>SUMIFS(Raw!M:M,Raw!A:A,Table2185[[#This Row],[Team]],Raw!B:B,Table2185[[#This Row],[Agent]])</f>
        <v>80.230000000000018</v>
      </c>
      <c r="H71" s="5">
        <f>(Table2185[[#This Row],[Num Escalations]]/Table2185[[#This Row],[Total calls Handled]])</f>
        <v>9.5398335315101085E-2</v>
      </c>
      <c r="I71" s="5">
        <f>SUMIFS(Raw!N:N,Raw!A:A,Table2185[[#This Row],[Team]],Raw!B:B,Table2185[[#This Row],[Agent]])</f>
        <v>674.13000000000011</v>
      </c>
      <c r="J71" s="5">
        <f>Table2185[[#This Row],[Num FCR]]/Table2185[[#This Row],[Total calls Handled]]</f>
        <v>0.80158145065398345</v>
      </c>
      <c r="K71" s="5">
        <f>AVERAGEIFS(Raw!J:J,Raw!A:A,Table2185[[#This Row],[Team]],Raw!B:B,Table2185[[#This Row],[Agent]])</f>
        <v>4.3713333333333342</v>
      </c>
    </row>
    <row r="72" spans="2:11" x14ac:dyDescent="0.35">
      <c r="B72" t="s">
        <v>34</v>
      </c>
      <c r="C72" t="s">
        <v>31</v>
      </c>
      <c r="D72">
        <f>SUMIFS(Raw!F:F, Raw!A:A, Table2185[[#This Row],[Team]], Raw!B:B, Table2185[[#This Row],[Agent]])</f>
        <v>831</v>
      </c>
      <c r="E72" s="7">
        <f>SUMIFS(Raw!G:G,Raw!A:A,Table2185[[#This Row],[Team]],Raw!B:B,Table2185[[#This Row],[Agent]])</f>
        <v>112.00999999999999</v>
      </c>
      <c r="F72" s="5">
        <f>AVERAGEIFS(Raw!L:L,Raw!A:A,B72,Raw!B:B,Table2185[[#This Row],[Agent]])</f>
        <v>26.734666666666669</v>
      </c>
      <c r="G72" s="5">
        <f>SUMIFS(Raw!M:M,Raw!A:A,Table2185[[#This Row],[Team]],Raw!B:B,Table2185[[#This Row],[Agent]])</f>
        <v>97.94</v>
      </c>
      <c r="H72" s="5">
        <f>(Table2185[[#This Row],[Num Escalations]]/Table2185[[#This Row],[Total calls Handled]])</f>
        <v>0.11785800240673887</v>
      </c>
      <c r="I72" s="5">
        <f>SUMIFS(Raw!N:N,Raw!A:A,Table2185[[#This Row],[Team]],Raw!B:B,Table2185[[#This Row],[Agent]])</f>
        <v>663.9</v>
      </c>
      <c r="J72" s="5">
        <f>Table2185[[#This Row],[Num FCR]]/Table2185[[#This Row],[Total calls Handled]]</f>
        <v>0.79891696750902519</v>
      </c>
      <c r="K72" s="5">
        <f>AVERAGEIFS(Raw!J:J,Raw!A:A,Table2185[[#This Row],[Team]],Raw!B:B,Table2185[[#This Row],[Agent]])</f>
        <v>4.1506666666666661</v>
      </c>
    </row>
    <row r="73" spans="2:11" x14ac:dyDescent="0.35">
      <c r="B73" t="s">
        <v>34</v>
      </c>
      <c r="C73" t="s">
        <v>26</v>
      </c>
      <c r="D73">
        <f>SUMIFS(Raw!F:F, Raw!A:A, Table2185[[#This Row],[Team]], Raw!B:B, Table2185[[#This Row],[Agent]])</f>
        <v>854</v>
      </c>
      <c r="E73" s="7">
        <f>SUMIFS(Raw!G:G,Raw!A:A,Table2185[[#This Row],[Team]],Raw!B:B,Table2185[[#This Row],[Agent]])</f>
        <v>114.51</v>
      </c>
      <c r="F73" s="5">
        <f>AVERAGEIFS(Raw!L:L,Raw!A:A,B73,Raw!B:B,Table2185[[#This Row],[Agent]])</f>
        <v>27.517333333333333</v>
      </c>
      <c r="G73" s="5">
        <f>SUMIFS(Raw!M:M,Raw!A:A,Table2185[[#This Row],[Team]],Raw!B:B,Table2185[[#This Row],[Agent]])</f>
        <v>96.56</v>
      </c>
      <c r="H73" s="5">
        <f>(Table2185[[#This Row],[Num Escalations]]/Table2185[[#This Row],[Total calls Handled]])</f>
        <v>0.11306791569086651</v>
      </c>
      <c r="I73" s="5">
        <f>SUMIFS(Raw!N:N,Raw!A:A,Table2185[[#This Row],[Team]],Raw!B:B,Table2185[[#This Row],[Agent]])</f>
        <v>678.59000000000015</v>
      </c>
      <c r="J73" s="5">
        <f>Table2185[[#This Row],[Num FCR]]/Table2185[[#This Row],[Total calls Handled]]</f>
        <v>0.79460187353629996</v>
      </c>
      <c r="K73" s="5">
        <f>AVERAGEIFS(Raw!J:J,Raw!A:A,Table2185[[#This Row],[Team]],Raw!B:B,Table2185[[#This Row],[Agent]])</f>
        <v>4.1480000000000006</v>
      </c>
    </row>
    <row r="74" spans="2:11" x14ac:dyDescent="0.35">
      <c r="B74" t="s">
        <v>12</v>
      </c>
      <c r="C74" t="s">
        <v>26</v>
      </c>
      <c r="D74">
        <f>SUMIFS(Raw!F:F, Raw!A:A, Table2185[[#This Row],[Team]], Raw!B:B, Table2185[[#This Row],[Agent]])</f>
        <v>882</v>
      </c>
      <c r="E74" s="7">
        <f>SUMIFS(Raw!G:G,Raw!A:A,Table2185[[#This Row],[Team]],Raw!B:B,Table2185[[#This Row],[Agent]])</f>
        <v>93.800000000000011</v>
      </c>
      <c r="F74" s="5">
        <f>AVERAGEIFS(Raw!L:L,Raw!A:A,B75,Raw!B:B,Table2185[[#This Row],[Agent]])</f>
        <v>25.313333333333336</v>
      </c>
      <c r="G74" s="5">
        <f>SUMIFS(Raw!M:M,Raw!A:A,Table2185[[#This Row],[Team]],Raw!B:B,Table2185[[#This Row],[Agent]])</f>
        <v>115.83000000000003</v>
      </c>
      <c r="H74" s="5">
        <f>(Table2185[[#This Row],[Num Escalations]]/Table2185[[#This Row],[Total calls Handled]])</f>
        <v>0.13132653061224492</v>
      </c>
      <c r="I74" s="5">
        <f>SUMIFS(Raw!N:N,Raw!A:A,Table2185[[#This Row],[Team]],Raw!B:B,Table2185[[#This Row],[Agent]])</f>
        <v>699.07999999999993</v>
      </c>
      <c r="J74" s="5">
        <f>Table2185[[#This Row],[Num FCR]]/Table2185[[#This Row],[Total calls Handled]]</f>
        <v>0.79260770975056682</v>
      </c>
      <c r="K74" s="5">
        <f>AVERAGEIFS(Raw!J:J,Raw!A:A,Table2185[[#This Row],[Team]],Raw!B:B,Table2185[[#This Row],[Agent]])</f>
        <v>4.1206666666666667</v>
      </c>
    </row>
    <row r="75" spans="2:11" x14ac:dyDescent="0.35">
      <c r="B75" t="s">
        <v>12</v>
      </c>
      <c r="C75" t="s">
        <v>33</v>
      </c>
      <c r="D75">
        <f>SUMIFS(Raw!F:F, Raw!A:A, Table2185[[#This Row],[Team]], Raw!B:B, Table2185[[#This Row],[Agent]])</f>
        <v>814</v>
      </c>
      <c r="E75" s="7">
        <f>SUMIFS(Raw!G:G,Raw!A:A,Table2185[[#This Row],[Team]],Raw!B:B,Table2185[[#This Row],[Agent]])</f>
        <v>87.82</v>
      </c>
      <c r="F75" s="5">
        <f>AVERAGEIFS(Raw!L:L,Raw!A:A,Table2185[[#This Row],[Team]],Raw!B:B,Table2185[[#This Row],[Agent]])</f>
        <v>25.249333333333329</v>
      </c>
      <c r="G75" s="5">
        <f>SUMIFS(Raw!M:M,Raw!A:A,Table2185[[#This Row],[Team]],Raw!B:B,Table2185[[#This Row],[Agent]])</f>
        <v>126.72999999999999</v>
      </c>
      <c r="H75" s="5">
        <f>(Table2185[[#This Row],[Num Escalations]]/Table2185[[#This Row],[Total calls Handled]])</f>
        <v>0.15568796068796067</v>
      </c>
      <c r="I75" s="5">
        <f>SUMIFS(Raw!N:N,Raw!A:A,Table2185[[#This Row],[Team]],Raw!B:B,Table2185[[#This Row],[Agent]])</f>
        <v>644.59</v>
      </c>
      <c r="J75" s="5">
        <f>Table2185[[#This Row],[Num FCR]]/Table2185[[#This Row],[Total calls Handled]]</f>
        <v>0.7918796068796069</v>
      </c>
      <c r="K75" s="5">
        <f>AVERAGEIFS(Raw!J:J,Raw!A:A,Table2185[[#This Row],[Team]],Raw!B:B,Table2185[[#This Row],[Agent]])</f>
        <v>4.3493333333333339</v>
      </c>
    </row>
    <row r="76" spans="2:11" x14ac:dyDescent="0.35">
      <c r="B76" t="s">
        <v>35</v>
      </c>
      <c r="C76" t="s">
        <v>25</v>
      </c>
      <c r="D76">
        <f>SUMIFS(Raw!F:F, Raw!A:A, Table2185[[#This Row],[Team]], Raw!B:B, Table2185[[#This Row],[Agent]])</f>
        <v>758</v>
      </c>
      <c r="E76" s="7">
        <f>SUMIFS(Raw!G:G,Raw!A:A,Table2185[[#This Row],[Team]],Raw!B:B,Table2185[[#This Row],[Agent]])</f>
        <v>93.88</v>
      </c>
      <c r="F76" s="5">
        <f>AVERAGEIFS(Raw!L:L,Raw!A:A,B76,Raw!B:B,Table2185[[#This Row],[Agent]])</f>
        <v>25.454000000000001</v>
      </c>
      <c r="G76" s="5">
        <f>SUMIFS(Raw!M:M,Raw!A:A,Table2185[[#This Row],[Team]],Raw!B:B,Table2185[[#This Row],[Agent]])</f>
        <v>100.80999999999999</v>
      </c>
      <c r="H76" s="5">
        <f>(Table2185[[#This Row],[Num Escalations]]/Table2185[[#This Row],[Total calls Handled]])</f>
        <v>0.13299472295514511</v>
      </c>
      <c r="I76" s="5">
        <f>SUMIFS(Raw!N:N,Raw!A:A,Table2185[[#This Row],[Team]],Raw!B:B,Table2185[[#This Row],[Agent]])</f>
        <v>599.88</v>
      </c>
      <c r="J76" s="5">
        <f>Table2185[[#This Row],[Num FCR]]/Table2185[[#This Row],[Total calls Handled]]</f>
        <v>0.79139841688654355</v>
      </c>
      <c r="K76" s="5">
        <f>AVERAGEIFS(Raw!J:J,Raw!A:A,Table2185[[#This Row],[Team]],Raw!B:B,Table2185[[#This Row],[Agent]])</f>
        <v>4.0853333333333337</v>
      </c>
    </row>
    <row r="77" spans="2:11" x14ac:dyDescent="0.35">
      <c r="B77" t="s">
        <v>35</v>
      </c>
      <c r="C77" t="s">
        <v>28</v>
      </c>
      <c r="D77">
        <f>SUMIFS(Raw!F:F, Raw!A:A, Table2185[[#This Row],[Team]], Raw!B:B, Table2185[[#This Row],[Agent]])</f>
        <v>780</v>
      </c>
      <c r="E77" s="7">
        <f>SUMIFS(Raw!G:G,Raw!A:A,Table2185[[#This Row],[Team]],Raw!B:B,Table2185[[#This Row],[Agent]])</f>
        <v>88.240000000000009</v>
      </c>
      <c r="F77" s="5">
        <f>AVERAGEIFS(Raw!L:L,Raw!A:A,B77,Raw!B:B,Table2185[[#This Row],[Agent]])</f>
        <v>25.156666666666663</v>
      </c>
      <c r="G77" s="5">
        <f>SUMIFS(Raw!M:M,Raw!A:A,Table2185[[#This Row],[Team]],Raw!B:B,Table2185[[#This Row],[Agent]])</f>
        <v>73.86</v>
      </c>
      <c r="H77" s="5">
        <f>(Table2185[[#This Row],[Num Escalations]]/Table2185[[#This Row],[Total calls Handled]])</f>
        <v>9.4692307692307687E-2</v>
      </c>
      <c r="I77" s="5">
        <f>SUMIFS(Raw!N:N,Raw!A:A,Table2185[[#This Row],[Team]],Raw!B:B,Table2185[[#This Row],[Agent]])</f>
        <v>616.97000000000014</v>
      </c>
      <c r="J77" s="5">
        <f>Table2185[[#This Row],[Num FCR]]/Table2185[[#This Row],[Total calls Handled]]</f>
        <v>0.79098717948717967</v>
      </c>
      <c r="K77" s="5">
        <f>AVERAGEIFS(Raw!J:J,Raw!A:A,Table2185[[#This Row],[Team]],Raw!B:B,Table2185[[#This Row],[Agent]])</f>
        <v>4.181333333333332</v>
      </c>
    </row>
    <row r="78" spans="2:11" x14ac:dyDescent="0.35">
      <c r="B78" t="s">
        <v>12</v>
      </c>
      <c r="C78" t="s">
        <v>31</v>
      </c>
      <c r="D78">
        <f>SUMIFS(Raw!F:F, Raw!A:A, Table2185[[#This Row],[Team]], Raw!B:B, Table2185[[#This Row],[Agent]])</f>
        <v>733</v>
      </c>
      <c r="E78" s="7">
        <f>SUMIFS(Raw!G:G,Raw!A:A,Table2185[[#This Row],[Team]],Raw!B:B,Table2185[[#This Row],[Agent]])</f>
        <v>92.28</v>
      </c>
      <c r="F78" s="5">
        <f>AVERAGEIFS(Raw!L:L,Raw!A:A,B79,Raw!B:B,Table2185[[#This Row],[Agent]])</f>
        <v>24.347333333333331</v>
      </c>
      <c r="G78" s="5">
        <f>SUMIFS(Raw!M:M,Raw!A:A,Table2185[[#This Row],[Team]],Raw!B:B,Table2185[[#This Row],[Agent]])</f>
        <v>83.070000000000022</v>
      </c>
      <c r="H78" s="5">
        <f>(Table2185[[#This Row],[Num Escalations]]/Table2185[[#This Row],[Total calls Handled]])</f>
        <v>0.11332878581173264</v>
      </c>
      <c r="I78" s="5">
        <f>SUMIFS(Raw!N:N,Raw!A:A,Table2185[[#This Row],[Team]],Raw!B:B,Table2185[[#This Row],[Agent]])</f>
        <v>579.29</v>
      </c>
      <c r="J78" s="5">
        <f>Table2185[[#This Row],[Num FCR]]/Table2185[[#This Row],[Total calls Handled]]</f>
        <v>0.790300136425648</v>
      </c>
      <c r="K78" s="5">
        <f>AVERAGEIFS(Raw!J:J,Raw!A:A,Table2185[[#This Row],[Team]],Raw!B:B,Table2185[[#This Row],[Agent]])</f>
        <v>4.1086666666666671</v>
      </c>
    </row>
    <row r="79" spans="2:11" x14ac:dyDescent="0.35">
      <c r="B79" t="s">
        <v>35</v>
      </c>
      <c r="C79" t="s">
        <v>26</v>
      </c>
      <c r="D79">
        <f>SUMIFS(Raw!F:F, Raw!A:A, Table2185[[#This Row],[Team]], Raw!B:B, Table2185[[#This Row],[Agent]])</f>
        <v>871</v>
      </c>
      <c r="E79" s="7">
        <f>SUMIFS(Raw!G:G,Raw!A:A,Table2185[[#This Row],[Team]],Raw!B:B,Table2185[[#This Row],[Agent]])</f>
        <v>86.59</v>
      </c>
      <c r="F79" s="5">
        <f>AVERAGEIFS(Raw!L:L,Raw!A:A,B79,Raw!B:B,Table2185[[#This Row],[Agent]])</f>
        <v>24.059333333333328</v>
      </c>
      <c r="G79" s="5">
        <f>SUMIFS(Raw!M:M,Raw!A:A,Table2185[[#This Row],[Team]],Raw!B:B,Table2185[[#This Row],[Agent]])</f>
        <v>98.039999999999992</v>
      </c>
      <c r="H79" s="5">
        <f>(Table2185[[#This Row],[Num Escalations]]/Table2185[[#This Row],[Total calls Handled]])</f>
        <v>0.11256027554535017</v>
      </c>
      <c r="I79" s="5">
        <f>SUMIFS(Raw!N:N,Raw!A:A,Table2185[[#This Row],[Team]],Raw!B:B,Table2185[[#This Row],[Agent]])</f>
        <v>687.53999999999985</v>
      </c>
      <c r="J79" s="5">
        <f>Table2185[[#This Row],[Num FCR]]/Table2185[[#This Row],[Total calls Handled]]</f>
        <v>0.78936854190585515</v>
      </c>
      <c r="K79" s="5">
        <f>AVERAGEIFS(Raw!J:J,Raw!A:A,Table2185[[#This Row],[Team]],Raw!B:B,Table2185[[#This Row],[Agent]])</f>
        <v>4.2760000000000007</v>
      </c>
    </row>
    <row r="80" spans="2:11" x14ac:dyDescent="0.35">
      <c r="B80" t="s">
        <v>12</v>
      </c>
      <c r="C80" t="s">
        <v>32</v>
      </c>
      <c r="D80">
        <f>SUMIFS(Raw!F:F, Raw!A:A, Table2185[[#This Row],[Team]], Raw!B:B, Table2185[[#This Row],[Agent]])</f>
        <v>826</v>
      </c>
      <c r="E80" s="7">
        <f>SUMIFS(Raw!G:G,Raw!A:A,Table2185[[#This Row],[Team]],Raw!B:B,Table2185[[#This Row],[Agent]])</f>
        <v>81.77000000000001</v>
      </c>
      <c r="F80" s="5">
        <f>AVERAGEIFS(Raw!L:L,Raw!A:A,B80,Raw!B:B,Table2185[[#This Row],[Agent]])</f>
        <v>24.242666666666665</v>
      </c>
      <c r="G80" s="5">
        <f>SUMIFS(Raw!M:M,Raw!A:A,Table2185[[#This Row],[Team]],Raw!B:B,Table2185[[#This Row],[Agent]])</f>
        <v>87.7</v>
      </c>
      <c r="H80" s="5">
        <f>(Table2185[[#This Row],[Num Escalations]]/Table2185[[#This Row],[Total calls Handled]])</f>
        <v>0.10617433414043584</v>
      </c>
      <c r="I80" s="5">
        <f>SUMIFS(Raw!N:N,Raw!A:A,Table2185[[#This Row],[Team]],Raw!B:B,Table2185[[#This Row],[Agent]])</f>
        <v>651.49999999999989</v>
      </c>
      <c r="J80" s="5">
        <f>Table2185[[#This Row],[Num FCR]]/Table2185[[#This Row],[Total calls Handled]]</f>
        <v>0.78874092009685215</v>
      </c>
      <c r="K80" s="5">
        <f>AVERAGEIFS(Raw!J:J,Raw!A:A,Table2185[[#This Row],[Team]],Raw!B:B,Table2185[[#This Row],[Agent]])</f>
        <v>4.1993333333333327</v>
      </c>
    </row>
    <row r="81" spans="2:11" x14ac:dyDescent="0.35">
      <c r="B81" t="s">
        <v>34</v>
      </c>
      <c r="C81" t="s">
        <v>29</v>
      </c>
      <c r="D81">
        <f>SUMIFS(Raw!F:F, Raw!A:A, Table2185[[#This Row],[Team]], Raw!B:B, Table2185[[#This Row],[Agent]])</f>
        <v>795</v>
      </c>
      <c r="E81" s="7">
        <f>SUMIFS(Raw!G:G,Raw!A:A,Table2185[[#This Row],[Team]],Raw!B:B,Table2185[[#This Row],[Agent]])</f>
        <v>116.81</v>
      </c>
      <c r="F81" s="5">
        <f>AVERAGEIFS(Raw!L:L,Raw!A:A,B81,Raw!B:B,Table2185[[#This Row],[Agent]])</f>
        <v>27.747999999999998</v>
      </c>
      <c r="G81" s="5">
        <f>SUMIFS(Raw!M:M,Raw!A:A,Table2185[[#This Row],[Team]],Raw!B:B,Table2185[[#This Row],[Agent]])</f>
        <v>58.919999999999995</v>
      </c>
      <c r="H81" s="5">
        <f>(Table2185[[#This Row],[Num Escalations]]/Table2185[[#This Row],[Total calls Handled]])</f>
        <v>7.411320754716981E-2</v>
      </c>
      <c r="I81" s="5">
        <f>SUMIFS(Raw!N:N,Raw!A:A,Table2185[[#This Row],[Team]],Raw!B:B,Table2185[[#This Row],[Agent]])</f>
        <v>626.91</v>
      </c>
      <c r="J81" s="5">
        <f>Table2185[[#This Row],[Num FCR]]/Table2185[[#This Row],[Total calls Handled]]</f>
        <v>0.78856603773584899</v>
      </c>
      <c r="K81" s="5">
        <f>AVERAGEIFS(Raw!J:J,Raw!A:A,Table2185[[#This Row],[Team]],Raw!B:B,Table2185[[#This Row],[Agent]])</f>
        <v>4.134666666666666</v>
      </c>
    </row>
    <row r="82" spans="2:11" x14ac:dyDescent="0.35">
      <c r="B82" t="s">
        <v>35</v>
      </c>
      <c r="C82" t="s">
        <v>30</v>
      </c>
      <c r="D82">
        <f>SUMIFS(Raw!F:F, Raw!A:A, Table2185[[#This Row],[Team]], Raw!B:B, Table2185[[#This Row],[Agent]])</f>
        <v>865</v>
      </c>
      <c r="E82" s="7">
        <f>SUMIFS(Raw!G:G,Raw!A:A,Table2185[[#This Row],[Team]],Raw!B:B,Table2185[[#This Row],[Agent]])</f>
        <v>89.640000000000015</v>
      </c>
      <c r="F82" s="5">
        <f>AVERAGEIFS(Raw!L:L,Raw!A:A,B82,Raw!B:B,Table2185[[#This Row],[Agent]])</f>
        <v>25.831333333333337</v>
      </c>
      <c r="G82" s="5">
        <f>SUMIFS(Raw!M:M,Raw!A:A,Table2185[[#This Row],[Team]],Raw!B:B,Table2185[[#This Row],[Agent]])</f>
        <v>113.63000000000001</v>
      </c>
      <c r="H82" s="5">
        <f>(Table2185[[#This Row],[Num Escalations]]/Table2185[[#This Row],[Total calls Handled]])</f>
        <v>0.131364161849711</v>
      </c>
      <c r="I82" s="5">
        <f>SUMIFS(Raw!N:N,Raw!A:A,Table2185[[#This Row],[Team]],Raw!B:B,Table2185[[#This Row],[Agent]])</f>
        <v>680.82</v>
      </c>
      <c r="J82" s="5">
        <f>Table2185[[#This Row],[Num FCR]]/Table2185[[#This Row],[Total calls Handled]]</f>
        <v>0.78707514450867055</v>
      </c>
      <c r="K82" s="5">
        <f>AVERAGEIFS(Raw!J:J,Raw!A:A,Table2185[[#This Row],[Team]],Raw!B:B,Table2185[[#This Row],[Agent]])</f>
        <v>4.2560000000000011</v>
      </c>
    </row>
    <row r="83" spans="2:11" x14ac:dyDescent="0.35">
      <c r="B83" t="s">
        <v>12</v>
      </c>
      <c r="C83" t="s">
        <v>28</v>
      </c>
      <c r="D83">
        <f>SUMIFS(Raw!F:F, Raw!A:A, Table2185[[#This Row],[Team]], Raw!B:B, Table2185[[#This Row],[Agent]])</f>
        <v>884</v>
      </c>
      <c r="E83" s="7">
        <f>SUMIFS(Raw!G:G,Raw!A:A,Table2185[[#This Row],[Team]],Raw!B:B,Table2185[[#This Row],[Agent]])</f>
        <v>88.360000000000014</v>
      </c>
      <c r="F83" s="5">
        <f>AVERAGEIFS(Raw!L:L,Raw!A:A,B84,Raw!B:B,Table2185[[#This Row],[Agent]])</f>
        <v>28.255333333333333</v>
      </c>
      <c r="G83" s="5">
        <f>SUMIFS(Raw!M:M,Raw!A:A,Table2185[[#This Row],[Team]],Raw!B:B,Table2185[[#This Row],[Agent]])</f>
        <v>129.53</v>
      </c>
      <c r="H83" s="5">
        <f>(Table2185[[#This Row],[Num Escalations]]/Table2185[[#This Row],[Total calls Handled]])</f>
        <v>0.14652714932126698</v>
      </c>
      <c r="I83" s="5">
        <f>SUMIFS(Raw!N:N,Raw!A:A,Table2185[[#This Row],[Team]],Raw!B:B,Table2185[[#This Row],[Agent]])</f>
        <v>693.83</v>
      </c>
      <c r="J83" s="5">
        <f>Table2185[[#This Row],[Num FCR]]/Table2185[[#This Row],[Total calls Handled]]</f>
        <v>0.7848755656108598</v>
      </c>
      <c r="K83" s="5">
        <f>AVERAGEIFS(Raw!J:J,Raw!A:A,Table2185[[#This Row],[Team]],Raw!B:B,Table2185[[#This Row],[Agent]])</f>
        <v>4.3020000000000005</v>
      </c>
    </row>
    <row r="84" spans="2:11" x14ac:dyDescent="0.35">
      <c r="B84" t="s">
        <v>34</v>
      </c>
      <c r="C84" t="s">
        <v>30</v>
      </c>
      <c r="D84">
        <f>SUMIFS(Raw!F:F, Raw!A:A, Table2185[[#This Row],[Team]], Raw!B:B, Table2185[[#This Row],[Agent]])</f>
        <v>757</v>
      </c>
      <c r="E84" s="7">
        <f>SUMIFS(Raw!G:G,Raw!A:A,Table2185[[#This Row],[Team]],Raw!B:B,Table2185[[#This Row],[Agent]])</f>
        <v>111.19</v>
      </c>
      <c r="F84" s="5">
        <f>AVERAGEIFS(Raw!L:L,Raw!A:A,B84,Raw!B:B,Table2185[[#This Row],[Agent]])</f>
        <v>28.385999999999999</v>
      </c>
      <c r="G84" s="5">
        <f>SUMIFS(Raw!M:M,Raw!A:A,Table2185[[#This Row],[Team]],Raw!B:B,Table2185[[#This Row],[Agent]])</f>
        <v>60.789999999999992</v>
      </c>
      <c r="H84" s="5">
        <f>(Table2185[[#This Row],[Num Escalations]]/Table2185[[#This Row],[Total calls Handled]])</f>
        <v>8.0303830911492721E-2</v>
      </c>
      <c r="I84" s="5">
        <f>SUMIFS(Raw!N:N,Raw!A:A,Table2185[[#This Row],[Team]],Raw!B:B,Table2185[[#This Row],[Agent]])</f>
        <v>593.79000000000019</v>
      </c>
      <c r="J84" s="5">
        <f>Table2185[[#This Row],[Num FCR]]/Table2185[[#This Row],[Total calls Handled]]</f>
        <v>0.78439894319682979</v>
      </c>
      <c r="K84" s="5">
        <f>AVERAGEIFS(Raw!J:J,Raw!A:A,Table2185[[#This Row],[Team]],Raw!B:B,Table2185[[#This Row],[Agent]])</f>
        <v>3.9246666666666665</v>
      </c>
    </row>
    <row r="85" spans="2:11" x14ac:dyDescent="0.35">
      <c r="B85" t="s">
        <v>34</v>
      </c>
      <c r="C85" t="s">
        <v>25</v>
      </c>
      <c r="D85">
        <f>SUMIFS(Raw!F:F, Raw!A:A, Table2185[[#This Row],[Team]], Raw!B:B, Table2185[[#This Row],[Agent]])</f>
        <v>840</v>
      </c>
      <c r="E85" s="7">
        <f>SUMIFS(Raw!G:G,Raw!A:A,Table2185[[#This Row],[Team]],Raw!B:B,Table2185[[#This Row],[Agent]])</f>
        <v>115.67</v>
      </c>
      <c r="F85" s="5">
        <f>AVERAGEIFS(Raw!L:L,Raw!A:A,B85,Raw!B:B,Table2185[[#This Row],[Agent]])</f>
        <v>27.233333333333331</v>
      </c>
      <c r="G85" s="5">
        <f>SUMIFS(Raw!M:M,Raw!A:A,Table2185[[#This Row],[Team]],Raw!B:B,Table2185[[#This Row],[Agent]])</f>
        <v>90.809999999999988</v>
      </c>
      <c r="H85" s="5">
        <f>(Table2185[[#This Row],[Num Escalations]]/Table2185[[#This Row],[Total calls Handled]])</f>
        <v>0.10810714285714285</v>
      </c>
      <c r="I85" s="5">
        <f>SUMIFS(Raw!N:N,Raw!A:A,Table2185[[#This Row],[Team]],Raw!B:B,Table2185[[#This Row],[Agent]])</f>
        <v>658.34999999999991</v>
      </c>
      <c r="J85" s="5">
        <f>Table2185[[#This Row],[Num FCR]]/Table2185[[#This Row],[Total calls Handled]]</f>
        <v>0.78374999999999995</v>
      </c>
      <c r="K85" s="5">
        <f>AVERAGEIFS(Raw!J:J,Raw!A:A,Table2185[[#This Row],[Team]],Raw!B:B,Table2185[[#This Row],[Agent]])</f>
        <v>4.3293333333333335</v>
      </c>
    </row>
    <row r="86" spans="2:11" x14ac:dyDescent="0.35">
      <c r="B86" t="s">
        <v>34</v>
      </c>
      <c r="C86" t="s">
        <v>27</v>
      </c>
      <c r="D86">
        <f>SUMIFS(Raw!F:F, Raw!A:A, Table2185[[#This Row],[Team]], Raw!B:B, Table2185[[#This Row],[Agent]])</f>
        <v>832</v>
      </c>
      <c r="E86" s="7">
        <f>SUMIFS(Raw!G:G,Raw!A:A,Table2185[[#This Row],[Team]],Raw!B:B,Table2185[[#This Row],[Agent]])</f>
        <v>108.55000000000001</v>
      </c>
      <c r="F86" s="5">
        <f>AVERAGEIFS(Raw!L:L,Raw!A:A,B86,Raw!B:B,Table2185[[#This Row],[Agent]])</f>
        <v>27.188666666666663</v>
      </c>
      <c r="G86" s="5">
        <f>SUMIFS(Raw!M:M,Raw!A:A,Table2185[[#This Row],[Team]],Raw!B:B,Table2185[[#This Row],[Agent]])</f>
        <v>98.03</v>
      </c>
      <c r="H86" s="5">
        <f>(Table2185[[#This Row],[Num Escalations]]/Table2185[[#This Row],[Total calls Handled]])</f>
        <v>0.11782451923076923</v>
      </c>
      <c r="I86" s="5">
        <f>SUMIFS(Raw!N:N,Raw!A:A,Table2185[[#This Row],[Team]],Raw!B:B,Table2185[[#This Row],[Agent]])</f>
        <v>651.66</v>
      </c>
      <c r="J86" s="5">
        <f>Table2185[[#This Row],[Num FCR]]/Table2185[[#This Row],[Total calls Handled]]</f>
        <v>0.7832451923076923</v>
      </c>
      <c r="K86" s="5">
        <f>AVERAGEIFS(Raw!J:J,Raw!A:A,Table2185[[#This Row],[Team]],Raw!B:B,Table2185[[#This Row],[Agent]])</f>
        <v>4.2306666666666661</v>
      </c>
    </row>
    <row r="87" spans="2:11" x14ac:dyDescent="0.35">
      <c r="B87" t="s">
        <v>35</v>
      </c>
      <c r="C87" t="s">
        <v>33</v>
      </c>
      <c r="D87">
        <f>SUMIFS(Raw!F:F, Raw!A:A, Table2185[[#This Row],[Team]], Raw!B:B, Table2185[[#This Row],[Agent]])</f>
        <v>798</v>
      </c>
      <c r="E87" s="7">
        <f>SUMIFS(Raw!G:G,Raw!A:A,Table2185[[#This Row],[Team]],Raw!B:B,Table2185[[#This Row],[Agent]])</f>
        <v>90.36</v>
      </c>
      <c r="F87" s="5">
        <f>AVERAGEIFS(Raw!L:L,Raw!A:A,B87,Raw!B:B,Table2185[[#This Row],[Agent]])</f>
        <v>25.634666666666668</v>
      </c>
      <c r="G87" s="5">
        <f>SUMIFS(Raw!M:M,Raw!A:A,Table2185[[#This Row],[Team]],Raw!B:B,Table2185[[#This Row],[Agent]])</f>
        <v>115.08999999999999</v>
      </c>
      <c r="H87" s="5">
        <f>(Table2185[[#This Row],[Num Escalations]]/Table2185[[#This Row],[Total calls Handled]])</f>
        <v>0.14422305764411025</v>
      </c>
      <c r="I87" s="5">
        <f>SUMIFS(Raw!N:N,Raw!A:A,Table2185[[#This Row],[Team]],Raw!B:B,Table2185[[#This Row],[Agent]])</f>
        <v>621.44000000000005</v>
      </c>
      <c r="J87" s="5">
        <f>Table2185[[#This Row],[Num FCR]]/Table2185[[#This Row],[Total calls Handled]]</f>
        <v>0.77874686716791985</v>
      </c>
      <c r="K87" s="5">
        <f>AVERAGEIFS(Raw!J:J,Raw!A:A,Table2185[[#This Row],[Team]],Raw!B:B,Table2185[[#This Row],[Agent]])</f>
        <v>3.964666666666667</v>
      </c>
    </row>
    <row r="88" spans="2:11" x14ac:dyDescent="0.35">
      <c r="B88" t="s">
        <v>35</v>
      </c>
      <c r="C88" t="s">
        <v>31</v>
      </c>
      <c r="D88">
        <f>SUMIFS(Raw!F:F, Raw!A:A, Table2185[[#This Row],[Team]], Raw!B:B, Table2185[[#This Row],[Agent]])</f>
        <v>785</v>
      </c>
      <c r="E88" s="7">
        <f>SUMIFS(Raw!G:G,Raw!A:A,Table2185[[#This Row],[Team]],Raw!B:B,Table2185[[#This Row],[Agent]])</f>
        <v>85.47</v>
      </c>
      <c r="F88" s="5">
        <f>AVERAGEIFS(Raw!L:L,Raw!A:A,B88,Raw!B:B,Table2185[[#This Row],[Agent]])</f>
        <v>24.347333333333331</v>
      </c>
      <c r="G88" s="5">
        <f>SUMIFS(Raw!M:M,Raw!A:A,Table2185[[#This Row],[Team]],Raw!B:B,Table2185[[#This Row],[Agent]])</f>
        <v>66.36</v>
      </c>
      <c r="H88" s="5">
        <f>(Table2185[[#This Row],[Num Escalations]]/Table2185[[#This Row],[Total calls Handled]])</f>
        <v>8.4535031847133763E-2</v>
      </c>
      <c r="I88" s="5">
        <f>SUMIFS(Raw!N:N,Raw!A:A,Table2185[[#This Row],[Team]],Raw!B:B,Table2185[[#This Row],[Agent]])</f>
        <v>610.58000000000004</v>
      </c>
      <c r="J88" s="5">
        <f>Table2185[[#This Row],[Num FCR]]/Table2185[[#This Row],[Total calls Handled]]</f>
        <v>0.77780891719745227</v>
      </c>
      <c r="K88" s="5">
        <f>AVERAGEIFS(Raw!J:J,Raw!A:A,Table2185[[#This Row],[Team]],Raw!B:B,Table2185[[#This Row],[Agent]])</f>
        <v>4.0873333333333326</v>
      </c>
    </row>
    <row r="89" spans="2:11" x14ac:dyDescent="0.35">
      <c r="B89" t="s">
        <v>12</v>
      </c>
      <c r="C89" t="s">
        <v>27</v>
      </c>
      <c r="D89">
        <f>SUMIFS(Raw!F:F, Raw!A:A, Table2185[[#This Row],[Team]], Raw!B:B, Table2185[[#This Row],[Agent]])</f>
        <v>709</v>
      </c>
      <c r="E89" s="7">
        <f>SUMIFS(Raw!G:G,Raw!A:A,Table2185[[#This Row],[Team]],Raw!B:B,Table2185[[#This Row],[Agent]])</f>
        <v>93.97999999999999</v>
      </c>
      <c r="F89" s="5">
        <f>I92</f>
        <v>623.06999999999994</v>
      </c>
      <c r="G89" s="5">
        <f>SUMIFS(Raw!M:M,Raw!A:A,Table2185[[#This Row],[Team]],Raw!B:B,Table2185[[#This Row],[Agent]])</f>
        <v>92.169999999999987</v>
      </c>
      <c r="H89" s="5">
        <f>(Table2185[[#This Row],[Num Escalations]]/Table2185[[#This Row],[Total calls Handled]])</f>
        <v>0.12999999999999998</v>
      </c>
      <c r="I89" s="5">
        <f>SUMIFS(Raw!N:N,Raw!A:A,Table2185[[#This Row],[Team]],Raw!B:B,Table2185[[#This Row],[Agent]])</f>
        <v>550.75</v>
      </c>
      <c r="J89" s="5">
        <f>Table2185[[#This Row],[Num FCR]]/Table2185[[#This Row],[Total calls Handled]]</f>
        <v>0.77679830747531731</v>
      </c>
      <c r="K89" s="5">
        <f>AVERAGEIFS(Raw!J:J,Raw!A:A,Table2185[[#This Row],[Team]],Raw!B:B,Table2185[[#This Row],[Agent]])</f>
        <v>4.046666666666666</v>
      </c>
    </row>
    <row r="90" spans="2:11" x14ac:dyDescent="0.35">
      <c r="B90" t="s">
        <v>35</v>
      </c>
      <c r="C90" t="s">
        <v>29</v>
      </c>
      <c r="D90">
        <f>SUMIFS(Raw!F:F, Raw!A:A, Table2185[[#This Row],[Team]], Raw!B:B, Table2185[[#This Row],[Agent]])</f>
        <v>773</v>
      </c>
      <c r="E90" s="7">
        <f>SUMIFS(Raw!G:G,Raw!A:A,Table2185[[#This Row],[Team]],Raw!B:B,Table2185[[#This Row],[Agent]])</f>
        <v>88.539999999999992</v>
      </c>
      <c r="F90" s="5">
        <f>AVERAGEIFS(Raw!L:L,Raw!A:A,B90,Raw!B:B,Table2185[[#This Row],[Agent]])</f>
        <v>25.321333333333335</v>
      </c>
      <c r="G90" s="5">
        <f>SUMIFS(Raw!M:M,Raw!A:A,Table2185[[#This Row],[Team]],Raw!B:B,Table2185[[#This Row],[Agent]])</f>
        <v>85.210000000000022</v>
      </c>
      <c r="H90" s="5">
        <f>(Table2185[[#This Row],[Num Escalations]]/Table2185[[#This Row],[Total calls Handled]])</f>
        <v>0.1102328589909444</v>
      </c>
      <c r="I90" s="5">
        <f>SUMIFS(Raw!N:N,Raw!A:A,Table2185[[#This Row],[Team]],Raw!B:B,Table2185[[#This Row],[Agent]])</f>
        <v>597.26999999999987</v>
      </c>
      <c r="J90" s="5">
        <f>Table2185[[#This Row],[Num FCR]]/Table2185[[#This Row],[Total calls Handled]]</f>
        <v>0.77266494178525214</v>
      </c>
      <c r="K90" s="5">
        <f>AVERAGEIFS(Raw!J:J,Raw!A:A,Table2185[[#This Row],[Team]],Raw!B:B,Table2185[[#This Row],[Agent]])</f>
        <v>4.1413333333333329</v>
      </c>
    </row>
    <row r="91" spans="2:11" x14ac:dyDescent="0.35">
      <c r="B91" t="s">
        <v>35</v>
      </c>
      <c r="C91" t="s">
        <v>13</v>
      </c>
      <c r="D91">
        <f>SUMIFS(Raw!F:F, Raw!A:A, Table2185[[#This Row],[Team]], Raw!B:B, Table2185[[#This Row],[Agent]])</f>
        <v>901</v>
      </c>
      <c r="E91" s="7">
        <f>SUMIFS(Raw!G:G,Raw!A:A,Table2185[[#This Row],[Team]],Raw!B:B,Table2185[[#This Row],[Agent]])</f>
        <v>87.710000000000008</v>
      </c>
      <c r="F91" s="5">
        <f>AVERAGEIFS(Raw!L:L,Raw!A:A,B91,Raw!B:B,Table2185[[#This Row],[Agent]])</f>
        <v>25.238666666666667</v>
      </c>
      <c r="G91" s="5">
        <f>SUMIFS(Raw!M:M,Raw!A:A,Table2185[[#This Row],[Team]],Raw!B:B,Table2185[[#This Row],[Agent]])</f>
        <v>100.21000000000002</v>
      </c>
      <c r="H91" s="5">
        <f>(Table2185[[#This Row],[Num Escalations]]/Table2185[[#This Row],[Total calls Handled]])</f>
        <v>0.11122086570477251</v>
      </c>
      <c r="I91" s="5">
        <f>SUMIFS(Raw!N:N,Raw!A:A,Table2185[[#This Row],[Team]],Raw!B:B,Table2185[[#This Row],[Agent]])</f>
        <v>693.06000000000006</v>
      </c>
      <c r="J91" s="5">
        <f>Table2185[[#This Row],[Num FCR]]/Table2185[[#This Row],[Total calls Handled]]</f>
        <v>0.76921198668146507</v>
      </c>
      <c r="K91" s="5">
        <f>AVERAGEIFS(Raw!J:J,Raw!A:A,Table2185[[#This Row],[Team]],Raw!B:B,Table2185[[#This Row],[Agent]])</f>
        <v>4.2013333333333334</v>
      </c>
    </row>
    <row r="92" spans="2:11" x14ac:dyDescent="0.35">
      <c r="B92" t="s">
        <v>12</v>
      </c>
      <c r="C92" t="s">
        <v>13</v>
      </c>
      <c r="D92">
        <f>SUMIFS(Raw!F:F, Raw!A:A, Table2185[[#This Row],[Team]], Raw!B:B, Table2185[[#This Row],[Agent]])</f>
        <v>811</v>
      </c>
      <c r="E92" s="7">
        <f>SUMIFS(Raw!G:G,Raw!A:A,Table2185[[#This Row],[Team]],Raw!B:B,Table2185[[#This Row],[Agent]])</f>
        <v>93.569999999999979</v>
      </c>
      <c r="F92" s="5">
        <f>AVERAGEIFS(Raw!L:L,Raw!A:A,B93,Raw!B:B,Table2185[[#This Row],[Agent]])</f>
        <v>25.238666666666667</v>
      </c>
      <c r="G92" s="5">
        <f>SUMIFS(Raw!M:M,Raw!A:A,Table2185[[#This Row],[Team]],Raw!B:B,Table2185[[#This Row],[Agent]])</f>
        <v>74.11999999999999</v>
      </c>
      <c r="H92" s="5">
        <f>(Table2185[[#This Row],[Num Escalations]]/Table2185[[#This Row],[Total calls Handled]])</f>
        <v>9.1393341553637472E-2</v>
      </c>
      <c r="I92" s="5">
        <f>SUMIFS(Raw!N:N,Raw!A:A,Table2185[[#This Row],[Team]],Raw!B:B,Table2185[[#This Row],[Agent]])</f>
        <v>623.06999999999994</v>
      </c>
      <c r="J92" s="5">
        <f>Table2185[[#This Row],[Num FCR]]/Table2185[[#This Row],[Total calls Handled]]</f>
        <v>0.76827373612823668</v>
      </c>
      <c r="K92" s="5">
        <f>AVERAGEIFS(Raw!J:J,Raw!A:A,Table2185[[#This Row],[Team]],Raw!B:B,Table2185[[#This Row],[Agent]])</f>
        <v>4.2113333333333332</v>
      </c>
    </row>
    <row r="93" spans="2:11" x14ac:dyDescent="0.35">
      <c r="B93" t="s">
        <v>35</v>
      </c>
      <c r="C93" t="s">
        <v>32</v>
      </c>
      <c r="D93">
        <f>SUMIFS(Raw!F:F, Raw!A:A, Table2185[[#This Row],[Team]], Raw!B:B, Table2185[[#This Row],[Agent]])</f>
        <v>783</v>
      </c>
      <c r="E93" s="7">
        <f>SUMIFS(Raw!G:G,Raw!A:A,Table2185[[#This Row],[Team]],Raw!B:B,Table2185[[#This Row],[Agent]])</f>
        <v>95.570000000000007</v>
      </c>
      <c r="F93" s="5">
        <f>AVERAGEIFS(Raw!L:L,Raw!A:A,B93,Raw!B:B,Table2185[[#This Row],[Agent]])</f>
        <v>26.023333333333326</v>
      </c>
      <c r="G93" s="5">
        <f>SUMIFS(Raw!M:M,Raw!A:A,Table2185[[#This Row],[Team]],Raw!B:B,Table2185[[#This Row],[Agent]])</f>
        <v>81.469999999999985</v>
      </c>
      <c r="H93" s="5">
        <f>(Table2185[[#This Row],[Num Escalations]]/Table2185[[#This Row],[Total calls Handled]])</f>
        <v>0.10404853128991058</v>
      </c>
      <c r="I93" s="5">
        <f>SUMIFS(Raw!N:N,Raw!A:A,Table2185[[#This Row],[Team]],Raw!B:B,Table2185[[#This Row],[Agent]])</f>
        <v>592.12999999999988</v>
      </c>
      <c r="J93" s="5">
        <f>Table2185[[#This Row],[Num FCR]]/Table2185[[#This Row],[Total calls Handled]]</f>
        <v>0.75623243933588746</v>
      </c>
      <c r="K93" s="5">
        <f>AVERAGEIFS(Raw!J:J,Raw!A:A,Table2185[[#This Row],[Team]],Raw!B:B,Table2185[[#This Row],[Agent]])</f>
        <v>4.0853333333333328</v>
      </c>
    </row>
    <row r="95" spans="2:11" x14ac:dyDescent="0.35">
      <c r="D95" s="12"/>
      <c r="E95" s="12"/>
      <c r="F95" s="12"/>
      <c r="G95" s="12"/>
      <c r="H95" s="12"/>
      <c r="I95" s="12"/>
    </row>
    <row r="96" spans="2:11" x14ac:dyDescent="0.35">
      <c r="D96" s="12" t="s">
        <v>72</v>
      </c>
      <c r="E96" s="12"/>
      <c r="F96" s="12"/>
      <c r="G96" s="12"/>
      <c r="H96" s="12"/>
      <c r="I96" s="12"/>
    </row>
    <row r="97" spans="4:9" x14ac:dyDescent="0.35">
      <c r="D97" s="12" t="s">
        <v>73</v>
      </c>
      <c r="E97" s="12"/>
      <c r="F97" s="12"/>
      <c r="G97" s="12"/>
      <c r="H97" s="12"/>
      <c r="I97" s="12"/>
    </row>
    <row r="98" spans="4:9" x14ac:dyDescent="0.35">
      <c r="D98" s="12" t="s">
        <v>74</v>
      </c>
      <c r="E98" s="12"/>
      <c r="F98" s="12"/>
      <c r="G98" s="12"/>
      <c r="H98" s="12"/>
      <c r="I98" s="12"/>
    </row>
    <row r="99" spans="4:9" x14ac:dyDescent="0.35">
      <c r="D99" s="12"/>
      <c r="E99" s="12"/>
      <c r="F99" s="12"/>
      <c r="G99" s="12"/>
      <c r="H99" s="12"/>
      <c r="I99" s="12"/>
    </row>
  </sheetData>
  <phoneticPr fontId="2" type="noConversion"/>
  <pageMargins left="0.7" right="0.7" top="0.75" bottom="0.75" header="0.3" footer="0.3"/>
  <drawing r:id="rId4"/>
  <tableParts count="2">
    <tablePart r:id="rId5"/>
    <tablePart r:id="rId6"/>
  </tableParts>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14585bf-5ebc-4cb2-9217-64d514d99f11">
      <Terms xmlns="http://schemas.microsoft.com/office/infopath/2007/PartnerControls"/>
    </lcf76f155ced4ddcb4097134ff3c332f>
    <Status xmlns="714585bf-5ebc-4cb2-9217-64d514d99f11" xsi:nil="true"/>
    <TaxCatchAll xmlns="9f8f9ba4-621f-48f3-b6e9-4c68702f5a9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8CC1CF00893B14AAA6F0DD8AB21FE1E" ma:contentTypeVersion="24" ma:contentTypeDescription="Create a new document." ma:contentTypeScope="" ma:versionID="e0907d032bb36da044e4a3d356c3b852">
  <xsd:schema xmlns:xsd="http://www.w3.org/2001/XMLSchema" xmlns:xs="http://www.w3.org/2001/XMLSchema" xmlns:p="http://schemas.microsoft.com/office/2006/metadata/properties" xmlns:ns2="714585bf-5ebc-4cb2-9217-64d514d99f11" xmlns:ns3="9f8f9ba4-621f-48f3-b6e9-4c68702f5a9c" targetNamespace="http://schemas.microsoft.com/office/2006/metadata/properties" ma:root="true" ma:fieldsID="bcde62920336f05e2b4a4c04d378ba09" ns2:_="" ns3:_="">
    <xsd:import namespace="714585bf-5ebc-4cb2-9217-64d514d99f11"/>
    <xsd:import namespace="9f8f9ba4-621f-48f3-b6e9-4c68702f5a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Status"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585bf-5ebc-4cb2-9217-64d514d99f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Status" ma:index="20" nillable="true" ma:displayName="Status" ma:format="Dropdown" ma:internalName="Status">
      <xsd:simpleType>
        <xsd:restriction base="dms:Choice">
          <xsd:enumeration value="Draft"/>
          <xsd:enumeration value="Approved"/>
          <xsd:enumeration value="Archived"/>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319d136-1cbd-4ed5-b4b0-ae486421ebf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8f9ba4-621f-48f3-b6e9-4c68702f5a9c"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ceea9ac-a9ad-4011-9869-4ec0d75ea628}" ma:internalName="TaxCatchAll" ma:showField="CatchAllData" ma:web="9f8f9ba4-621f-48f3-b6e9-4c68702f5a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332B91-EBC7-4E53-8EB1-04C3B74E2AEB}">
  <ds:schemaRefs>
    <ds:schemaRef ds:uri="http://schemas.microsoft.com/office/2006/metadata/properties"/>
    <ds:schemaRef ds:uri="http://schemas.microsoft.com/office/infopath/2007/PartnerControls"/>
    <ds:schemaRef ds:uri="714585bf-5ebc-4cb2-9217-64d514d99f11"/>
    <ds:schemaRef ds:uri="9f8f9ba4-621f-48f3-b6e9-4c68702f5a9c"/>
  </ds:schemaRefs>
</ds:datastoreItem>
</file>

<file path=customXml/itemProps2.xml><?xml version="1.0" encoding="utf-8"?>
<ds:datastoreItem xmlns:ds="http://schemas.openxmlformats.org/officeDocument/2006/customXml" ds:itemID="{082BE432-B152-4B5F-9E42-1D8B7408C842}">
  <ds:schemaRefs>
    <ds:schemaRef ds:uri="http://schemas.microsoft.com/sharepoint/v3/contenttype/forms"/>
  </ds:schemaRefs>
</ds:datastoreItem>
</file>

<file path=customXml/itemProps3.xml><?xml version="1.0" encoding="utf-8"?>
<ds:datastoreItem xmlns:ds="http://schemas.openxmlformats.org/officeDocument/2006/customXml" ds:itemID="{D994F799-71A4-4436-832B-FCB4C7221F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4585bf-5ebc-4cb2-9217-64d514d99f11"/>
    <ds:schemaRef ds:uri="9f8f9ba4-621f-48f3-b6e9-4c68702f5a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vt:lpstr>
      <vt:lpstr>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Reabetswe Tsotetsi</dc:creator>
  <cp:keywords/>
  <dc:description/>
  <cp:lastModifiedBy>Rea Tsotetsi</cp:lastModifiedBy>
  <cp:revision/>
  <dcterms:created xsi:type="dcterms:W3CDTF">2025-06-01T03:52:39Z</dcterms:created>
  <dcterms:modified xsi:type="dcterms:W3CDTF">2026-02-20T13:06:07Z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0x010100F8CC1CF00893B14AAA6F0DD8AB21FE1E</vt:lpwstr>
  </property>
  <property fmtid="{D5CDD505-2E9C-101B-9397-08002B2CF9AE}" pid="3" name="MediaServiceImageTags">
    <vt:lpwstr/>
  </property>
</Properties>
</file>